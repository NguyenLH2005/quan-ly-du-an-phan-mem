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Giảng dạy\HK 3 2025-2026\32526-CT22301\"/>
    </mc:Choice>
  </mc:AlternateContent>
  <xr:revisionPtr revIDLastSave="0" documentId="13_ncr:1_{AB1C7BBE-D73E-4913-9201-BB5C8EA1B2F2}" xr6:coauthVersionLast="47" xr6:coauthVersionMax="47" xr10:uidLastSave="{00000000-0000-0000-0000-000000000000}"/>
  <bookViews>
    <workbookView xWindow="-108" yWindow="-108" windowWidth="23256" windowHeight="12456" activeTab="2" xr2:uid="{F501CDFB-C3FB-47CB-B771-0DB1DFCBB12A}"/>
  </bookViews>
  <sheets>
    <sheet name="AOA" sheetId="1" r:id="rId1"/>
    <sheet name="PDM" sheetId="2" r:id="rId2"/>
    <sheet name="PDM RNT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1" i="3" l="1"/>
  <c r="AB21" i="3"/>
  <c r="AC20" i="3"/>
  <c r="AC19" i="3"/>
  <c r="AC18" i="3"/>
  <c r="AC17" i="3"/>
  <c r="AC16" i="3"/>
  <c r="F16" i="3"/>
  <c r="F8" i="3"/>
  <c r="F11" i="3"/>
  <c r="D11" i="3"/>
  <c r="D12" i="2"/>
  <c r="H12" i="2"/>
  <c r="F12" i="2" s="1"/>
  <c r="H9" i="2"/>
  <c r="L12" i="2"/>
  <c r="J12" i="2" s="1"/>
  <c r="H17" i="2"/>
  <c r="F17" i="2" s="1"/>
  <c r="N15" i="2"/>
  <c r="P10" i="2"/>
  <c r="N10" i="2" s="1"/>
  <c r="P6" i="2"/>
  <c r="N6" i="2" s="1"/>
  <c r="T15" i="2"/>
  <c r="R15" i="2" s="1"/>
  <c r="W9" i="2"/>
  <c r="U9" i="2" s="1"/>
  <c r="B12" i="2"/>
  <c r="F9" i="2"/>
  <c r="L15" i="2"/>
  <c r="Y9" i="2"/>
  <c r="AA9" i="2"/>
  <c r="Y8" i="2"/>
  <c r="U8" i="2"/>
  <c r="W8" i="2" s="1"/>
  <c r="R14" i="2"/>
  <c r="T14" i="2" s="1"/>
  <c r="N5" i="2"/>
  <c r="P5" i="2" s="1"/>
  <c r="N9" i="2"/>
  <c r="P9" i="2" s="1"/>
  <c r="L14" i="2"/>
  <c r="N14" i="2" s="1"/>
  <c r="J11" i="2"/>
  <c r="L11" i="2" s="1"/>
  <c r="F16" i="2"/>
  <c r="H16" i="2" s="1"/>
  <c r="F8" i="2"/>
  <c r="H8" i="2" s="1"/>
  <c r="F11" i="2"/>
  <c r="H11" i="2" s="1"/>
  <c r="AA8" i="2"/>
  <c r="D11" i="2"/>
  <c r="H16" i="3" l="1"/>
  <c r="H8" i="3"/>
  <c r="H11" i="3"/>
  <c r="L14" i="3" l="1"/>
  <c r="N14" i="3" s="1"/>
  <c r="J11" i="3"/>
  <c r="L11" i="3" s="1"/>
  <c r="N9" i="3" l="1"/>
  <c r="P9" i="3" s="1"/>
  <c r="R14" i="3" s="1"/>
  <c r="T14" i="3" s="1"/>
  <c r="N5" i="3"/>
  <c r="P5" i="3" s="1"/>
  <c r="U8" i="3" l="1"/>
  <c r="W8" i="3" s="1"/>
  <c r="Y8" i="3" s="1"/>
  <c r="AA8" i="3" s="1"/>
  <c r="AA9" i="3" s="1"/>
  <c r="Y9" i="3" s="1"/>
  <c r="W9" i="3" s="1"/>
  <c r="U9" i="3" s="1"/>
  <c r="P6" i="3" s="1"/>
  <c r="N6" i="3" s="1"/>
  <c r="T15" i="3" l="1"/>
  <c r="R15" i="3" s="1"/>
  <c r="H17" i="3" s="1"/>
  <c r="F17" i="3" s="1"/>
  <c r="P10" i="3" l="1"/>
  <c r="N10" i="3" s="1"/>
  <c r="H9" i="3" s="1"/>
  <c r="F9" i="3" s="1"/>
  <c r="N15" i="3"/>
  <c r="L15" i="3" s="1"/>
  <c r="L12" i="3" l="1"/>
  <c r="J12" i="3" s="1"/>
  <c r="H12" i="3" s="1"/>
  <c r="F12" i="3" s="1"/>
  <c r="D12" i="3" s="1"/>
  <c r="B12" i="3" s="1"/>
</calcChain>
</file>

<file path=xl/sharedStrings.xml><?xml version="1.0" encoding="utf-8"?>
<sst xmlns="http://schemas.openxmlformats.org/spreadsheetml/2006/main" count="90" uniqueCount="44">
  <si>
    <t>ES</t>
  </si>
  <si>
    <t>EF</t>
  </si>
  <si>
    <t>LS</t>
  </si>
  <si>
    <t>LF</t>
  </si>
  <si>
    <t>Task</t>
  </si>
  <si>
    <t>Dur</t>
  </si>
  <si>
    <t>A</t>
  </si>
  <si>
    <t>B</t>
  </si>
  <si>
    <t>C</t>
  </si>
  <si>
    <t>E</t>
  </si>
  <si>
    <t>F</t>
  </si>
  <si>
    <t>G</t>
  </si>
  <si>
    <t>H</t>
  </si>
  <si>
    <t>I</t>
  </si>
  <si>
    <t>Start</t>
  </si>
  <si>
    <t>Dur start =0</t>
  </si>
  <si>
    <t xml:space="preserve">D </t>
  </si>
  <si>
    <t>End</t>
  </si>
  <si>
    <t>ES start = 0</t>
  </si>
  <si>
    <t>EF x = ES x + Dur x</t>
  </si>
  <si>
    <t>ES x =Max ({EF i }),  với I là tập các công việc trước x</t>
  </si>
  <si>
    <t>LF end = EF end</t>
  </si>
  <si>
    <t>LS x = LF x - Dur x</t>
  </si>
  <si>
    <t>LF x = Min ({ LS j } ), với j là tập các công việc sau x</t>
  </si>
  <si>
    <t>Thời gian thực hiện dự án:</t>
  </si>
  <si>
    <t>37 tháng</t>
  </si>
  <si>
    <t>Đường găng:</t>
  </si>
  <si>
    <t>A-B-F-I</t>
  </si>
  <si>
    <t>Công việc găng: A, B, F, I</t>
  </si>
  <si>
    <t>STT</t>
  </si>
  <si>
    <t>Cong viec</t>
  </si>
  <si>
    <t>TGRN</t>
  </si>
  <si>
    <t>Chi phi</t>
  </si>
  <si>
    <t>Ghi chu</t>
  </si>
  <si>
    <t>Buoc 1</t>
  </si>
  <si>
    <t>I đạt tg tối thiểu</t>
  </si>
  <si>
    <t xml:space="preserve">Bước 2 </t>
  </si>
  <si>
    <t>Bước 3</t>
  </si>
  <si>
    <t>A-B-E-H-I</t>
  </si>
  <si>
    <t>Bước 4</t>
  </si>
  <si>
    <t>F+E</t>
  </si>
  <si>
    <t>F+H</t>
  </si>
  <si>
    <t>Bước 5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</si>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</sst>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19</xdr:row>
      <xdr:rowOff>129540</xdr:rowOff>
    </xdr:from>
    <xdr:to>
      <xdr:col>8</xdr:col>
      <xdr:colOff>548640</xdr:colOff>
      <xdr:row>22</xdr:row>
      <xdr:rowOff>114300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11036A7-7598-AB39-2494-5B80DC1D2A2D}"/>
            </a:ext>
          </a:extLst>
        </xdr:cNvPr>
        <xdr:cNvSpPr/>
      </xdr:nvSpPr>
      <xdr:spPr>
        <a:xfrm>
          <a:off x="4846320" y="360426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400"/>
        </a:p>
      </xdr:txBody>
    </xdr:sp>
    <xdr:clientData/>
  </xdr:twoCellAnchor>
  <xdr:twoCellAnchor>
    <xdr:from>
      <xdr:col>4</xdr:col>
      <xdr:colOff>594360</xdr:colOff>
      <xdr:row>2</xdr:row>
      <xdr:rowOff>0</xdr:rowOff>
    </xdr:from>
    <xdr:to>
      <xdr:col>5</xdr:col>
      <xdr:colOff>556260</xdr:colOff>
      <xdr:row>2</xdr:row>
      <xdr:rowOff>30480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0DCD210-7EBF-A94C-05AB-426A02F61832}"/>
            </a:ext>
          </a:extLst>
        </xdr:cNvPr>
        <xdr:cNvCxnSpPr/>
      </xdr:nvCxnSpPr>
      <xdr:spPr>
        <a:xfrm>
          <a:off x="3032760" y="365760"/>
          <a:ext cx="571500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213360</xdr:colOff>
      <xdr:row>0</xdr:row>
      <xdr:rowOff>99060</xdr:rowOff>
    </xdr:from>
    <xdr:to>
      <xdr:col>7</xdr:col>
      <xdr:colOff>457200</xdr:colOff>
      <xdr:row>2</xdr:row>
      <xdr:rowOff>129540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6486A56-0ABF-CF41-8DDB-F45F26081B4F}"/>
            </a:ext>
          </a:extLst>
        </xdr:cNvPr>
        <xdr:cNvSpPr/>
      </xdr:nvSpPr>
      <xdr:spPr>
        <a:xfrm>
          <a:off x="3870960" y="9906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400"/>
        </a:p>
      </xdr:txBody>
    </xdr:sp>
    <xdr:clientData/>
  </xdr:twoCellAnchor>
  <xdr:twoCellAnchor>
    <xdr:from>
      <xdr:col>0</xdr:col>
      <xdr:colOff>403860</xdr:colOff>
      <xdr:row>10</xdr:row>
      <xdr:rowOff>45720</xdr:rowOff>
    </xdr:from>
    <xdr:to>
      <xdr:col>1</xdr:col>
      <xdr:colOff>373380</xdr:colOff>
      <xdr:row>13</xdr:row>
      <xdr:rowOff>30480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CE07704-4D80-1429-0A82-1C26E3382028}"/>
            </a:ext>
          </a:extLst>
        </xdr:cNvPr>
        <xdr:cNvSpPr/>
      </xdr:nvSpPr>
      <xdr:spPr>
        <a:xfrm>
          <a:off x="403860" y="187452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3</xdr:col>
      <xdr:colOff>541020</xdr:colOff>
      <xdr:row>10</xdr:row>
      <xdr:rowOff>76200</xdr:rowOff>
    </xdr:from>
    <xdr:to>
      <xdr:col>4</xdr:col>
      <xdr:colOff>510540</xdr:colOff>
      <xdr:row>13</xdr:row>
      <xdr:rowOff>60960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896FDFE-06B7-1599-5D84-8D246CB29CDC}"/>
            </a:ext>
          </a:extLst>
        </xdr:cNvPr>
        <xdr:cNvSpPr/>
      </xdr:nvSpPr>
      <xdr:spPr>
        <a:xfrm>
          <a:off x="2369820" y="190500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6</xdr:col>
      <xdr:colOff>259080</xdr:colOff>
      <xdr:row>3</xdr:row>
      <xdr:rowOff>106680</xdr:rowOff>
    </xdr:from>
    <xdr:to>
      <xdr:col>7</xdr:col>
      <xdr:colOff>228600</xdr:colOff>
      <xdr:row>6</xdr:row>
      <xdr:rowOff>91440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43BBE46-6498-4503-2A7C-60B543142AE0}"/>
            </a:ext>
          </a:extLst>
        </xdr:cNvPr>
        <xdr:cNvSpPr/>
      </xdr:nvSpPr>
      <xdr:spPr>
        <a:xfrm>
          <a:off x="3916680" y="65532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400"/>
        </a:p>
      </xdr:txBody>
    </xdr:sp>
    <xdr:clientData/>
  </xdr:twoCellAnchor>
  <xdr:twoCellAnchor>
    <xdr:from>
      <xdr:col>7</xdr:col>
      <xdr:colOff>579120</xdr:colOff>
      <xdr:row>19</xdr:row>
      <xdr:rowOff>121920</xdr:rowOff>
    </xdr:from>
    <xdr:to>
      <xdr:col>8</xdr:col>
      <xdr:colOff>548640</xdr:colOff>
      <xdr:row>22</xdr:row>
      <xdr:rowOff>106680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599B2E9-7F8A-CBC2-5F3B-59665045A3BA}"/>
            </a:ext>
          </a:extLst>
        </xdr:cNvPr>
        <xdr:cNvSpPr/>
      </xdr:nvSpPr>
      <xdr:spPr>
        <a:xfrm>
          <a:off x="4846320" y="359664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1</xdr:col>
      <xdr:colOff>373380</xdr:colOff>
      <xdr:row>11</xdr:row>
      <xdr:rowOff>129540</xdr:rowOff>
    </xdr:from>
    <xdr:to>
      <xdr:col>3</xdr:col>
      <xdr:colOff>541020</xdr:colOff>
      <xdr:row>11</xdr:row>
      <xdr:rowOff>160020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3C09EED-350C-4FE6-29E5-5537624BEEDD}"/>
            </a:ext>
          </a:extLst>
        </xdr:cNvPr>
        <xdr:cNvCxnSpPr>
          <a:stCxn id="6" idx="6"/>
          <a:endCxn id="7" idx="2"/>
        </xdr:cNvCxnSpPr>
      </xdr:nvCxnSpPr>
      <xdr:spPr>
        <a:xfrm>
          <a:off x="982980" y="2141220"/>
          <a:ext cx="1386840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288570</xdr:colOff>
      <xdr:row>6</xdr:row>
      <xdr:rowOff>13325</xdr:rowOff>
    </xdr:from>
    <xdr:to>
      <xdr:col>6</xdr:col>
      <xdr:colOff>343890</xdr:colOff>
      <xdr:row>10</xdr:row>
      <xdr:rowOff>123835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34BE4AE-771C-E27C-8E33-FBACFE32A443}"/>
            </a:ext>
          </a:extLst>
        </xdr:cNvPr>
        <xdr:cNvCxnSpPr>
          <a:stCxn id="6" idx="7"/>
          <a:endCxn id="8" idx="3"/>
        </xdr:cNvCxnSpPr>
      </xdr:nvCxnSpPr>
      <xdr:spPr>
        <a:xfrm flipV="1">
          <a:off x="898170" y="1110605"/>
          <a:ext cx="3103320" cy="842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288570</xdr:colOff>
      <xdr:row>12</xdr:row>
      <xdr:rowOff>135245</xdr:rowOff>
    </xdr:from>
    <xdr:to>
      <xdr:col>7</xdr:col>
      <xdr:colOff>579120</xdr:colOff>
      <xdr:row>21</xdr:row>
      <xdr:rowOff>22860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F3D11C8-4ED5-9B5C-AF5B-58B4551874A0}"/>
            </a:ext>
          </a:extLst>
        </xdr:cNvPr>
        <xdr:cNvCxnSpPr>
          <a:stCxn id="6" idx="5"/>
          <a:endCxn id="9" idx="2"/>
        </xdr:cNvCxnSpPr>
      </xdr:nvCxnSpPr>
      <xdr:spPr>
        <a:xfrm>
          <a:off x="898170" y="2329805"/>
          <a:ext cx="3948150" cy="15335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9</xdr:row>
      <xdr:rowOff>114300</xdr:rowOff>
    </xdr:from>
    <xdr:to>
      <xdr:col>3</xdr:col>
      <xdr:colOff>342900</xdr:colOff>
      <xdr:row>11</xdr:row>
      <xdr:rowOff>144780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07DEADD-A590-BE0B-AC44-893CB699A5EA}"/>
            </a:ext>
          </a:extLst>
        </xdr:cNvPr>
        <xdr:cNvSpPr/>
      </xdr:nvSpPr>
      <xdr:spPr>
        <a:xfrm>
          <a:off x="1318260" y="176022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A=4</a:t>
          </a:r>
        </a:p>
      </xdr:txBody>
    </xdr:sp>
    <xdr:clientData/>
  </xdr:twoCellAnchor>
  <xdr:twoCellAnchor>
    <xdr:from>
      <xdr:col>3</xdr:col>
      <xdr:colOff>327660</xdr:colOff>
      <xdr:row>5</xdr:row>
      <xdr:rowOff>45720</xdr:rowOff>
    </xdr:from>
    <xdr:to>
      <xdr:col>4</xdr:col>
      <xdr:colOff>571500</xdr:colOff>
      <xdr:row>7</xdr:row>
      <xdr:rowOff>76200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20A8227-29B8-9DFB-AD82-0F8EE5C05717}"/>
            </a:ext>
          </a:extLst>
        </xdr:cNvPr>
        <xdr:cNvSpPr/>
      </xdr:nvSpPr>
      <xdr:spPr>
        <a:xfrm>
          <a:off x="2156460" y="96012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C=4</a:t>
          </a:r>
        </a:p>
      </xdr:txBody>
    </xdr:sp>
    <xdr:clientData/>
  </xdr:twoCellAnchor>
  <xdr:twoCellAnchor>
    <xdr:from>
      <xdr:col>1</xdr:col>
      <xdr:colOff>38100</xdr:colOff>
      <xdr:row>15</xdr:row>
      <xdr:rowOff>45720</xdr:rowOff>
    </xdr:from>
    <xdr:to>
      <xdr:col>2</xdr:col>
      <xdr:colOff>281940</xdr:colOff>
      <xdr:row>17</xdr:row>
      <xdr:rowOff>76200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BAD579A8-05A7-38C9-77AD-46E262115DB5}"/>
            </a:ext>
          </a:extLst>
        </xdr:cNvPr>
        <xdr:cNvSpPr/>
      </xdr:nvSpPr>
      <xdr:spPr>
        <a:xfrm>
          <a:off x="647700" y="278892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D=12</a:t>
          </a:r>
        </a:p>
      </xdr:txBody>
    </xdr:sp>
    <xdr:clientData/>
  </xdr:twoCellAnchor>
  <xdr:twoCellAnchor>
    <xdr:from>
      <xdr:col>6</xdr:col>
      <xdr:colOff>259080</xdr:colOff>
      <xdr:row>3</xdr:row>
      <xdr:rowOff>106680</xdr:rowOff>
    </xdr:from>
    <xdr:to>
      <xdr:col>7</xdr:col>
      <xdr:colOff>228600</xdr:colOff>
      <xdr:row>6</xdr:row>
      <xdr:rowOff>91440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C00E01D-4D4C-E6BE-2CDB-E20FABC5E7BE}"/>
            </a:ext>
          </a:extLst>
        </xdr:cNvPr>
        <xdr:cNvSpPr/>
      </xdr:nvSpPr>
      <xdr:spPr>
        <a:xfrm>
          <a:off x="3916680" y="65532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4</xdr:col>
      <xdr:colOff>510540</xdr:colOff>
      <xdr:row>6</xdr:row>
      <xdr:rowOff>13325</xdr:rowOff>
    </xdr:from>
    <xdr:to>
      <xdr:col>6</xdr:col>
      <xdr:colOff>343890</xdr:colOff>
      <xdr:row>11</xdr:row>
      <xdr:rowOff>160020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D0E2F8A-7A63-7B18-AF35-594A6315EB35}"/>
            </a:ext>
          </a:extLst>
        </xdr:cNvPr>
        <xdr:cNvCxnSpPr>
          <a:stCxn id="7" idx="6"/>
          <a:endCxn id="24" idx="3"/>
        </xdr:cNvCxnSpPr>
      </xdr:nvCxnSpPr>
      <xdr:spPr>
        <a:xfrm flipV="1">
          <a:off x="2948940" y="1110605"/>
          <a:ext cx="1052550" cy="10610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9</xdr:row>
      <xdr:rowOff>22860</xdr:rowOff>
    </xdr:from>
    <xdr:to>
      <xdr:col>6</xdr:col>
      <xdr:colOff>259080</xdr:colOff>
      <xdr:row>11</xdr:row>
      <xdr:rowOff>53340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B3FD078-F8DE-EA9E-FC47-31276B1D744D}"/>
            </a:ext>
          </a:extLst>
        </xdr:cNvPr>
        <xdr:cNvSpPr/>
      </xdr:nvSpPr>
      <xdr:spPr>
        <a:xfrm>
          <a:off x="3063240" y="166878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B=6</a:t>
          </a:r>
        </a:p>
      </xdr:txBody>
    </xdr:sp>
    <xdr:clientData/>
  </xdr:twoCellAnchor>
  <xdr:twoCellAnchor>
    <xdr:from>
      <xdr:col>6</xdr:col>
      <xdr:colOff>548640</xdr:colOff>
      <xdr:row>6</xdr:row>
      <xdr:rowOff>91440</xdr:rowOff>
    </xdr:from>
    <xdr:to>
      <xdr:col>8</xdr:col>
      <xdr:colOff>54330</xdr:colOff>
      <xdr:row>20</xdr:row>
      <xdr:rowOff>24775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6AE2D2F-EC16-4642-9A4A-7F9DEB667350}"/>
            </a:ext>
          </a:extLst>
        </xdr:cNvPr>
        <xdr:cNvCxnSpPr>
          <a:stCxn id="24" idx="4"/>
          <a:endCxn id="2" idx="1"/>
        </xdr:cNvCxnSpPr>
      </xdr:nvCxnSpPr>
      <xdr:spPr>
        <a:xfrm>
          <a:off x="4206240" y="1188720"/>
          <a:ext cx="724890" cy="2493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</xdr:colOff>
      <xdr:row>8</xdr:row>
      <xdr:rowOff>30480</xdr:rowOff>
    </xdr:from>
    <xdr:to>
      <xdr:col>8</xdr:col>
      <xdr:colOff>297180</xdr:colOff>
      <xdr:row>10</xdr:row>
      <xdr:rowOff>60960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15DC99D2-367F-43B7-BC91-0490C5C4B051}"/>
            </a:ext>
          </a:extLst>
        </xdr:cNvPr>
        <xdr:cNvSpPr/>
      </xdr:nvSpPr>
      <xdr:spPr>
        <a:xfrm>
          <a:off x="4320540" y="149352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E=10</a:t>
          </a:r>
        </a:p>
      </xdr:txBody>
    </xdr:sp>
    <xdr:clientData/>
  </xdr:twoCellAnchor>
  <xdr:twoCellAnchor>
    <xdr:from>
      <xdr:col>3</xdr:col>
      <xdr:colOff>381000</xdr:colOff>
      <xdr:row>0</xdr:row>
      <xdr:rowOff>99060</xdr:rowOff>
    </xdr:from>
    <xdr:to>
      <xdr:col>4</xdr:col>
      <xdr:colOff>350520</xdr:colOff>
      <xdr:row>3</xdr:row>
      <xdr:rowOff>83820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7EBC170-950E-E2BC-82E8-C5D7F66BC06E}"/>
            </a:ext>
          </a:extLst>
        </xdr:cNvPr>
        <xdr:cNvSpPr/>
      </xdr:nvSpPr>
      <xdr:spPr>
        <a:xfrm>
          <a:off x="2209800" y="9906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400"/>
        </a:p>
      </xdr:txBody>
    </xdr:sp>
    <xdr:clientData/>
  </xdr:twoCellAnchor>
  <xdr:twoCellAnchor>
    <xdr:from>
      <xdr:col>9</xdr:col>
      <xdr:colOff>312420</xdr:colOff>
      <xdr:row>5</xdr:row>
      <xdr:rowOff>0</xdr:rowOff>
    </xdr:from>
    <xdr:to>
      <xdr:col>10</xdr:col>
      <xdr:colOff>281940</xdr:colOff>
      <xdr:row>7</xdr:row>
      <xdr:rowOff>167640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18399C7B-6656-D720-C8E6-B4BC22F8A934}"/>
            </a:ext>
          </a:extLst>
        </xdr:cNvPr>
        <xdr:cNvSpPr/>
      </xdr:nvSpPr>
      <xdr:spPr>
        <a:xfrm>
          <a:off x="5798820" y="91440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7</xdr:col>
      <xdr:colOff>228600</xdr:colOff>
      <xdr:row>5</xdr:row>
      <xdr:rowOff>7620</xdr:rowOff>
    </xdr:from>
    <xdr:to>
      <xdr:col>9</xdr:col>
      <xdr:colOff>312420</xdr:colOff>
      <xdr:row>6</xdr:row>
      <xdr:rowOff>83820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85799A1D-9FDC-F571-A829-7F6CC2CFAFD9}"/>
            </a:ext>
          </a:extLst>
        </xdr:cNvPr>
        <xdr:cNvCxnSpPr>
          <a:stCxn id="24" idx="6"/>
          <a:endCxn id="43" idx="2"/>
        </xdr:cNvCxnSpPr>
      </xdr:nvCxnSpPr>
      <xdr:spPr>
        <a:xfrm>
          <a:off x="4495800" y="922020"/>
          <a:ext cx="1303020" cy="259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3</xdr:row>
      <xdr:rowOff>76200</xdr:rowOff>
    </xdr:from>
    <xdr:to>
      <xdr:col>9</xdr:col>
      <xdr:colOff>190500</xdr:colOff>
      <xdr:row>5</xdr:row>
      <xdr:rowOff>106680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554BEC99-A0DC-9F75-2E40-E0DE65B8D017}"/>
            </a:ext>
          </a:extLst>
        </xdr:cNvPr>
        <xdr:cNvSpPr/>
      </xdr:nvSpPr>
      <xdr:spPr>
        <a:xfrm>
          <a:off x="4823460" y="62484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F=24</a:t>
          </a:r>
        </a:p>
      </xdr:txBody>
    </xdr:sp>
    <xdr:clientData/>
  </xdr:twoCellAnchor>
  <xdr:twoCellAnchor>
    <xdr:from>
      <xdr:col>4</xdr:col>
      <xdr:colOff>425730</xdr:colOff>
      <xdr:row>12</xdr:row>
      <xdr:rowOff>165725</xdr:rowOff>
    </xdr:from>
    <xdr:to>
      <xdr:col>8</xdr:col>
      <xdr:colOff>54330</xdr:colOff>
      <xdr:row>20</xdr:row>
      <xdr:rowOff>17155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F7D611AC-2C52-85AC-47B2-CB7C330A1111}"/>
            </a:ext>
          </a:extLst>
        </xdr:cNvPr>
        <xdr:cNvCxnSpPr>
          <a:stCxn id="7" idx="5"/>
          <a:endCxn id="9" idx="1"/>
        </xdr:cNvCxnSpPr>
      </xdr:nvCxnSpPr>
      <xdr:spPr>
        <a:xfrm>
          <a:off x="2864130" y="2360285"/>
          <a:ext cx="2067000" cy="1314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14</xdr:row>
      <xdr:rowOff>7620</xdr:rowOff>
    </xdr:from>
    <xdr:to>
      <xdr:col>7</xdr:col>
      <xdr:colOff>15240</xdr:colOff>
      <xdr:row>16</xdr:row>
      <xdr:rowOff>38100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2220B5EC-F4EC-1D61-3053-07407FBEE5A4}"/>
            </a:ext>
          </a:extLst>
        </xdr:cNvPr>
        <xdr:cNvSpPr/>
      </xdr:nvSpPr>
      <xdr:spPr>
        <a:xfrm>
          <a:off x="3429000" y="256794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G=7</a:t>
          </a:r>
        </a:p>
      </xdr:txBody>
    </xdr:sp>
    <xdr:clientData/>
  </xdr:twoCellAnchor>
  <xdr:twoCellAnchor>
    <xdr:from>
      <xdr:col>8</xdr:col>
      <xdr:colOff>463830</xdr:colOff>
      <xdr:row>7</xdr:row>
      <xdr:rowOff>167640</xdr:rowOff>
    </xdr:from>
    <xdr:to>
      <xdr:col>9</xdr:col>
      <xdr:colOff>601980</xdr:colOff>
      <xdr:row>20</xdr:row>
      <xdr:rowOff>17155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B45214E-DF83-A994-DB10-6E9C5E656C5E}"/>
            </a:ext>
          </a:extLst>
        </xdr:cNvPr>
        <xdr:cNvCxnSpPr>
          <a:stCxn id="9" idx="7"/>
          <a:endCxn id="43" idx="4"/>
        </xdr:cNvCxnSpPr>
      </xdr:nvCxnSpPr>
      <xdr:spPr>
        <a:xfrm flipV="1">
          <a:off x="5340630" y="1447800"/>
          <a:ext cx="747750" cy="22269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</xdr:row>
      <xdr:rowOff>129540</xdr:rowOff>
    </xdr:from>
    <xdr:to>
      <xdr:col>10</xdr:col>
      <xdr:colOff>60960</xdr:colOff>
      <xdr:row>15</xdr:row>
      <xdr:rowOff>160020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0226A3A2-31DC-BFAA-1901-6BD27565ED15}"/>
            </a:ext>
          </a:extLst>
        </xdr:cNvPr>
        <xdr:cNvSpPr/>
      </xdr:nvSpPr>
      <xdr:spPr>
        <a:xfrm>
          <a:off x="5303520" y="250698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F=10</a:t>
          </a:r>
        </a:p>
      </xdr:txBody>
    </xdr:sp>
    <xdr:clientData/>
  </xdr:twoCellAnchor>
  <xdr:twoCellAnchor>
    <xdr:from>
      <xdr:col>12</xdr:col>
      <xdr:colOff>0</xdr:colOff>
      <xdr:row>5</xdr:row>
      <xdr:rowOff>60960</xdr:rowOff>
    </xdr:from>
    <xdr:to>
      <xdr:col>12</xdr:col>
      <xdr:colOff>579120</xdr:colOff>
      <xdr:row>8</xdr:row>
      <xdr:rowOff>45720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1F69AE53-6CBD-D333-0BFB-4051ECB0C23D}"/>
            </a:ext>
          </a:extLst>
        </xdr:cNvPr>
        <xdr:cNvSpPr/>
      </xdr:nvSpPr>
      <xdr:spPr>
        <a:xfrm>
          <a:off x="7315200" y="975360"/>
          <a:ext cx="579120" cy="533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>
    <xdr:from>
      <xdr:col>10</xdr:col>
      <xdr:colOff>281940</xdr:colOff>
      <xdr:row>6</xdr:row>
      <xdr:rowOff>83820</xdr:rowOff>
    </xdr:from>
    <xdr:to>
      <xdr:col>12</xdr:col>
      <xdr:colOff>0</xdr:colOff>
      <xdr:row>6</xdr:row>
      <xdr:rowOff>144780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3457F0A5-4E2E-E46D-D014-43DA7FD21F59}"/>
            </a:ext>
          </a:extLst>
        </xdr:cNvPr>
        <xdr:cNvCxnSpPr>
          <a:stCxn id="43" idx="6"/>
          <a:endCxn id="58" idx="2"/>
        </xdr:cNvCxnSpPr>
      </xdr:nvCxnSpPr>
      <xdr:spPr>
        <a:xfrm>
          <a:off x="6377940" y="1181100"/>
          <a:ext cx="937260" cy="60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388620</xdr:colOff>
      <xdr:row>3</xdr:row>
      <xdr:rowOff>144780</xdr:rowOff>
    </xdr:from>
    <xdr:to>
      <xdr:col>12</xdr:col>
      <xdr:colOff>22860</xdr:colOff>
      <xdr:row>5</xdr:row>
      <xdr:rowOff>175260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3860DDDE-1114-7BE6-767C-0CCA4EE9DE4A}"/>
            </a:ext>
          </a:extLst>
        </xdr:cNvPr>
        <xdr:cNvSpPr/>
      </xdr:nvSpPr>
      <xdr:spPr>
        <a:xfrm>
          <a:off x="6484620" y="693420"/>
          <a:ext cx="853440" cy="3962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I=3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274320</xdr:colOff>
      <xdr:row>0</xdr:row>
      <xdr:rowOff>30480</xdr:rowOff>
    </xdr:from>
    <xdr:to>
      <xdr:col>37</xdr:col>
      <xdr:colOff>53741</xdr:colOff>
      <xdr:row>11</xdr:row>
      <xdr:rowOff>222108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FAE9F-7EA7-88B3-8615-713F32E26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9040" y="30480"/>
          <a:ext cx="3345581" cy="2706228"/>
        </a:xfrm>
        <a:prstGeom prst="rect">
          <a:avLst/>
        </a:prstGeom>
      </xdr:spPr>
    </xdr:pic>
    <xdr:clientData/>
  </xdr:twoCellAnchor>
  <xdr:twoCellAnchor>
    <xdr:from>
      <xdr:col>5</xdr:col>
      <xdr:colOff>213360</xdr:colOff>
      <xdr:row>4</xdr:row>
      <xdr:rowOff>152400</xdr:rowOff>
    </xdr:from>
    <xdr:to>
      <xdr:col>6</xdr:col>
      <xdr:colOff>167640</xdr:colOff>
      <xdr:row>4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9E0837F-6B45-4F4F-1062-A77DB31AC010}"/>
            </a:ext>
          </a:extLst>
        </xdr:cNvPr>
        <xdr:cNvCxnSpPr/>
      </xdr:nvCxnSpPr>
      <xdr:spPr>
        <a:xfrm>
          <a:off x="2194560" y="38100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10</xdr:row>
      <xdr:rowOff>121920</xdr:rowOff>
    </xdr:from>
    <xdr:to>
      <xdr:col>4</xdr:col>
      <xdr:colOff>358140</xdr:colOff>
      <xdr:row>10</xdr:row>
      <xdr:rowOff>121920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DFAB00B-9A86-01C1-1B1F-0B4BF9475949}"/>
            </a:ext>
          </a:extLst>
        </xdr:cNvPr>
        <xdr:cNvCxnSpPr/>
      </xdr:nvCxnSpPr>
      <xdr:spPr>
        <a:xfrm>
          <a:off x="1592580" y="172212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8</xdr:row>
      <xdr:rowOff>38100</xdr:rowOff>
    </xdr:from>
    <xdr:to>
      <xdr:col>5</xdr:col>
      <xdr:colOff>0</xdr:colOff>
      <xdr:row>10</xdr:row>
      <xdr:rowOff>45720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C9066BC-E4ED-7ECE-DE52-DEB831CC5A0D}"/>
            </a:ext>
          </a:extLst>
        </xdr:cNvPr>
        <xdr:cNvCxnSpPr/>
      </xdr:nvCxnSpPr>
      <xdr:spPr>
        <a:xfrm flipV="1">
          <a:off x="1592580" y="1181100"/>
          <a:ext cx="388620" cy="464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12</xdr:row>
      <xdr:rowOff>7620</xdr:rowOff>
    </xdr:from>
    <xdr:to>
      <xdr:col>5</xdr:col>
      <xdr:colOff>7620</xdr:colOff>
      <xdr:row>15</xdr:row>
      <xdr:rowOff>22860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E7D8B0F-E8C9-295E-B640-494F776F3F1C}"/>
            </a:ext>
          </a:extLst>
        </xdr:cNvPr>
        <xdr:cNvCxnSpPr/>
      </xdr:nvCxnSpPr>
      <xdr:spPr>
        <a:xfrm>
          <a:off x="1531620" y="2065020"/>
          <a:ext cx="45720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10</xdr:row>
      <xdr:rowOff>114300</xdr:rowOff>
    </xdr:from>
    <xdr:to>
      <xdr:col>8</xdr:col>
      <xdr:colOff>373380</xdr:colOff>
      <xdr:row>10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2D3B39A-8848-32BC-1320-C3F44675F45B}"/>
            </a:ext>
          </a:extLst>
        </xdr:cNvPr>
        <xdr:cNvCxnSpPr/>
      </xdr:nvCxnSpPr>
      <xdr:spPr>
        <a:xfrm>
          <a:off x="3192780" y="171450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30480</xdr:rowOff>
    </xdr:from>
    <xdr:to>
      <xdr:col>12</xdr:col>
      <xdr:colOff>388620</xdr:colOff>
      <xdr:row>7</xdr:row>
      <xdr:rowOff>129540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CB3D968-94B4-D3DE-DD18-A098EBFB6459}"/>
            </a:ext>
          </a:extLst>
        </xdr:cNvPr>
        <xdr:cNvCxnSpPr/>
      </xdr:nvCxnSpPr>
      <xdr:spPr>
        <a:xfrm flipV="1">
          <a:off x="3169920" y="487680"/>
          <a:ext cx="197358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8</xdr:row>
      <xdr:rowOff>60960</xdr:rowOff>
    </xdr:from>
    <xdr:to>
      <xdr:col>13</xdr:col>
      <xdr:colOff>0</xdr:colOff>
      <xdr:row>9</xdr:row>
      <xdr:rowOff>7620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53EBC93-56A2-690C-AA4C-F81DEDB0EDF6}"/>
            </a:ext>
          </a:extLst>
        </xdr:cNvPr>
        <xdr:cNvCxnSpPr/>
      </xdr:nvCxnSpPr>
      <xdr:spPr>
        <a:xfrm>
          <a:off x="3185160" y="1203960"/>
          <a:ext cx="1965960" cy="175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9</xdr:row>
      <xdr:rowOff>205740</xdr:rowOff>
    </xdr:from>
    <xdr:to>
      <xdr:col>12</xdr:col>
      <xdr:colOff>373380</xdr:colOff>
      <xdr:row>9</xdr:row>
      <xdr:rowOff>205740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DCBEF4C-77B5-7CA3-1904-BDAB2FB466BE}"/>
            </a:ext>
          </a:extLst>
        </xdr:cNvPr>
        <xdr:cNvCxnSpPr/>
      </xdr:nvCxnSpPr>
      <xdr:spPr>
        <a:xfrm>
          <a:off x="4777740" y="157734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373380</xdr:colOff>
      <xdr:row>5</xdr:row>
      <xdr:rowOff>205740</xdr:rowOff>
    </xdr:from>
    <xdr:to>
      <xdr:col>13</xdr:col>
      <xdr:colOff>0</xdr:colOff>
      <xdr:row>10</xdr:row>
      <xdr:rowOff>7620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CD69400-1035-6F5E-04D8-715DE25BAA42}"/>
            </a:ext>
          </a:extLst>
        </xdr:cNvPr>
        <xdr:cNvCxnSpPr/>
      </xdr:nvCxnSpPr>
      <xdr:spPr>
        <a:xfrm flipV="1">
          <a:off x="4732020" y="662940"/>
          <a:ext cx="419100" cy="944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12</xdr:row>
      <xdr:rowOff>30480</xdr:rowOff>
    </xdr:from>
    <xdr:to>
      <xdr:col>10</xdr:col>
      <xdr:colOff>381000</xdr:colOff>
      <xdr:row>14</xdr:row>
      <xdr:rowOff>53340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76C9C85-68AB-F82D-EF92-8D615B5D5FB2}"/>
            </a:ext>
          </a:extLst>
        </xdr:cNvPr>
        <xdr:cNvCxnSpPr/>
      </xdr:nvCxnSpPr>
      <xdr:spPr>
        <a:xfrm>
          <a:off x="3154680" y="2087880"/>
          <a:ext cx="1188720" cy="480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</xdr:colOff>
      <xdr:row>13</xdr:row>
      <xdr:rowOff>106680</xdr:rowOff>
    </xdr:from>
    <xdr:to>
      <xdr:col>16</xdr:col>
      <xdr:colOff>335280</xdr:colOff>
      <xdr:row>14</xdr:row>
      <xdr:rowOff>129540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02F1A3A-EE5D-0441-E7B0-3350DAF02705}"/>
            </a:ext>
          </a:extLst>
        </xdr:cNvPr>
        <xdr:cNvCxnSpPr/>
      </xdr:nvCxnSpPr>
      <xdr:spPr>
        <a:xfrm flipV="1">
          <a:off x="5570220" y="3078480"/>
          <a:ext cx="1104900" cy="251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14</xdr:row>
      <xdr:rowOff>83820</xdr:rowOff>
    </xdr:from>
    <xdr:to>
      <xdr:col>17</xdr:col>
      <xdr:colOff>53340</xdr:colOff>
      <xdr:row>17</xdr:row>
      <xdr:rowOff>7620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D776D005-91CF-2BBE-A536-E20FDBB8B6D6}"/>
            </a:ext>
          </a:extLst>
        </xdr:cNvPr>
        <xdr:cNvCxnSpPr/>
      </xdr:nvCxnSpPr>
      <xdr:spPr>
        <a:xfrm flipV="1">
          <a:off x="3208020" y="3284220"/>
          <a:ext cx="3581400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388620</xdr:colOff>
      <xdr:row>4</xdr:row>
      <xdr:rowOff>91440</xdr:rowOff>
    </xdr:from>
    <xdr:to>
      <xdr:col>20</xdr:col>
      <xdr:colOff>30480</xdr:colOff>
      <xdr:row>7</xdr:row>
      <xdr:rowOff>106680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2D125F3-EB98-3EAC-9667-975D15433F7E}"/>
            </a:ext>
          </a:extLst>
        </xdr:cNvPr>
        <xdr:cNvCxnSpPr/>
      </xdr:nvCxnSpPr>
      <xdr:spPr>
        <a:xfrm>
          <a:off x="6332220" y="320040"/>
          <a:ext cx="162306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388620</xdr:colOff>
      <xdr:row>10</xdr:row>
      <xdr:rowOff>0</xdr:rowOff>
    </xdr:from>
    <xdr:to>
      <xdr:col>17</xdr:col>
      <xdr:colOff>0</xdr:colOff>
      <xdr:row>12</xdr:row>
      <xdr:rowOff>190500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1E91BB43-ADD2-64C5-DE53-7307963D7812}"/>
            </a:ext>
          </a:extLst>
        </xdr:cNvPr>
        <xdr:cNvCxnSpPr/>
      </xdr:nvCxnSpPr>
      <xdr:spPr>
        <a:xfrm>
          <a:off x="6332220" y="2286000"/>
          <a:ext cx="403860" cy="64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358140</xdr:colOff>
      <xdr:row>9</xdr:row>
      <xdr:rowOff>7620</xdr:rowOff>
    </xdr:from>
    <xdr:to>
      <xdr:col>20</xdr:col>
      <xdr:colOff>30480</xdr:colOff>
      <xdr:row>12</xdr:row>
      <xdr:rowOff>220980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E7BA5270-3904-89E6-1009-6C9F7C0D0811}"/>
            </a:ext>
          </a:extLst>
        </xdr:cNvPr>
        <xdr:cNvCxnSpPr/>
      </xdr:nvCxnSpPr>
      <xdr:spPr>
        <a:xfrm flipV="1">
          <a:off x="7886700" y="2065020"/>
          <a:ext cx="68580" cy="8991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</xdr:row>
      <xdr:rowOff>175260</xdr:rowOff>
    </xdr:from>
    <xdr:to>
      <xdr:col>23</xdr:col>
      <xdr:colOff>350520</xdr:colOff>
      <xdr:row>7</xdr:row>
      <xdr:rowOff>175260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5B6C031-4C6B-F054-8D02-A3794D6484E4}"/>
            </a:ext>
          </a:extLst>
        </xdr:cNvPr>
        <xdr:cNvCxnSpPr/>
      </xdr:nvCxnSpPr>
      <xdr:spPr>
        <a:xfrm>
          <a:off x="9113520" y="108966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350520</xdr:colOff>
      <xdr:row>0</xdr:row>
      <xdr:rowOff>106680</xdr:rowOff>
    </xdr:from>
    <xdr:to>
      <xdr:col>5</xdr:col>
      <xdr:colOff>304800</xdr:colOff>
      <xdr:row>0</xdr:row>
      <xdr:rowOff>106680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E74BDD6-73C3-618C-000C-C9DC3B24C42B}"/>
            </a:ext>
          </a:extLst>
        </xdr:cNvPr>
        <xdr:cNvCxnSpPr/>
      </xdr:nvCxnSpPr>
      <xdr:spPr>
        <a:xfrm>
          <a:off x="1935480" y="10668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167640</xdr:colOff>
      <xdr:row>0</xdr:row>
      <xdr:rowOff>99060</xdr:rowOff>
    </xdr:from>
    <xdr:to>
      <xdr:col>31</xdr:col>
      <xdr:colOff>259080</xdr:colOff>
      <xdr:row>0</xdr:row>
      <xdr:rowOff>114300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075DF87-B690-6FE8-44CE-A92757280068}"/>
            </a:ext>
          </a:extLst>
        </xdr:cNvPr>
        <xdr:cNvCxnSpPr/>
      </xdr:nvCxnSpPr>
      <xdr:spPr>
        <a:xfrm flipH="1">
          <a:off x="12054840" y="99060"/>
          <a:ext cx="4876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4</xdr:row>
      <xdr:rowOff>152400</xdr:rowOff>
    </xdr:from>
    <xdr:to>
      <xdr:col>6</xdr:col>
      <xdr:colOff>167640</xdr:colOff>
      <xdr:row>4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8FA646-BD9D-4444-83A0-E764A835B45F}"/>
            </a:ext>
          </a:extLst>
        </xdr:cNvPr>
        <xdr:cNvCxnSpPr/>
      </xdr:nvCxnSpPr>
      <xdr:spPr>
        <a:xfrm>
          <a:off x="2194560" y="106680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10</xdr:row>
      <xdr:rowOff>121920</xdr:rowOff>
    </xdr:from>
    <xdr:to>
      <xdr:col>4</xdr:col>
      <xdr:colOff>358140</xdr:colOff>
      <xdr:row>10</xdr:row>
      <xdr:rowOff>121920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7314321-FEBD-41A7-ADAA-2663EFE17316}"/>
            </a:ext>
          </a:extLst>
        </xdr:cNvPr>
        <xdr:cNvCxnSpPr/>
      </xdr:nvCxnSpPr>
      <xdr:spPr>
        <a:xfrm>
          <a:off x="1592580" y="240792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8</xdr:row>
      <xdr:rowOff>38100</xdr:rowOff>
    </xdr:from>
    <xdr:to>
      <xdr:col>5</xdr:col>
      <xdr:colOff>0</xdr:colOff>
      <xdr:row>10</xdr:row>
      <xdr:rowOff>45720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1C1781-ACC9-4B69-861F-C0CB95230596}"/>
            </a:ext>
          </a:extLst>
        </xdr:cNvPr>
        <xdr:cNvCxnSpPr/>
      </xdr:nvCxnSpPr>
      <xdr:spPr>
        <a:xfrm flipV="1">
          <a:off x="1592580" y="1866900"/>
          <a:ext cx="388620" cy="464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12</xdr:row>
      <xdr:rowOff>7620</xdr:rowOff>
    </xdr:from>
    <xdr:to>
      <xdr:col>5</xdr:col>
      <xdr:colOff>7620</xdr:colOff>
      <xdr:row>15</xdr:row>
      <xdr:rowOff>22860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BFEC02B-EECF-4543-88B5-39C1190C923A}"/>
            </a:ext>
          </a:extLst>
        </xdr:cNvPr>
        <xdr:cNvCxnSpPr/>
      </xdr:nvCxnSpPr>
      <xdr:spPr>
        <a:xfrm>
          <a:off x="1531620" y="2750820"/>
          <a:ext cx="45720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10</xdr:row>
      <xdr:rowOff>114300</xdr:rowOff>
    </xdr:from>
    <xdr:to>
      <xdr:col>8</xdr:col>
      <xdr:colOff>373380</xdr:colOff>
      <xdr:row>10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087032B-03F7-4719-BCA5-03551EE7003A}"/>
            </a:ext>
          </a:extLst>
        </xdr:cNvPr>
        <xdr:cNvCxnSpPr/>
      </xdr:nvCxnSpPr>
      <xdr:spPr>
        <a:xfrm>
          <a:off x="3192780" y="240030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30480</xdr:rowOff>
    </xdr:from>
    <xdr:to>
      <xdr:col>12</xdr:col>
      <xdr:colOff>388620</xdr:colOff>
      <xdr:row>7</xdr:row>
      <xdr:rowOff>129540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A564046-6805-45CB-B4B6-2751EC6038B6}"/>
            </a:ext>
          </a:extLst>
        </xdr:cNvPr>
        <xdr:cNvCxnSpPr/>
      </xdr:nvCxnSpPr>
      <xdr:spPr>
        <a:xfrm flipV="1">
          <a:off x="3169920" y="1173480"/>
          <a:ext cx="197358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8</xdr:row>
      <xdr:rowOff>60960</xdr:rowOff>
    </xdr:from>
    <xdr:to>
      <xdr:col>13</xdr:col>
      <xdr:colOff>0</xdr:colOff>
      <xdr:row>9</xdr:row>
      <xdr:rowOff>7620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5934DFA-4EDF-401F-BB46-0990B2C5669B}"/>
            </a:ext>
          </a:extLst>
        </xdr:cNvPr>
        <xdr:cNvCxnSpPr/>
      </xdr:nvCxnSpPr>
      <xdr:spPr>
        <a:xfrm>
          <a:off x="3185160" y="1889760"/>
          <a:ext cx="1965960" cy="175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9</xdr:row>
      <xdr:rowOff>205740</xdr:rowOff>
    </xdr:from>
    <xdr:to>
      <xdr:col>12</xdr:col>
      <xdr:colOff>373380</xdr:colOff>
      <xdr:row>9</xdr:row>
      <xdr:rowOff>205740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6137F27-002D-457B-909E-8201FA84E7B9}"/>
            </a:ext>
          </a:extLst>
        </xdr:cNvPr>
        <xdr:cNvCxnSpPr/>
      </xdr:nvCxnSpPr>
      <xdr:spPr>
        <a:xfrm>
          <a:off x="4777740" y="226314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373380</xdr:colOff>
      <xdr:row>5</xdr:row>
      <xdr:rowOff>205740</xdr:rowOff>
    </xdr:from>
    <xdr:to>
      <xdr:col>13</xdr:col>
      <xdr:colOff>0</xdr:colOff>
      <xdr:row>10</xdr:row>
      <xdr:rowOff>7620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AC3F5AC-E875-49E1-A66C-F9686DF33387}"/>
            </a:ext>
          </a:extLst>
        </xdr:cNvPr>
        <xdr:cNvCxnSpPr/>
      </xdr:nvCxnSpPr>
      <xdr:spPr>
        <a:xfrm flipV="1">
          <a:off x="4732020" y="1348740"/>
          <a:ext cx="419100" cy="944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12</xdr:row>
      <xdr:rowOff>30480</xdr:rowOff>
    </xdr:from>
    <xdr:to>
      <xdr:col>10</xdr:col>
      <xdr:colOff>381000</xdr:colOff>
      <xdr:row>14</xdr:row>
      <xdr:rowOff>53340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E3BC6E6-71EA-481F-8DFA-D663FC8BAAC0}"/>
            </a:ext>
          </a:extLst>
        </xdr:cNvPr>
        <xdr:cNvCxnSpPr/>
      </xdr:nvCxnSpPr>
      <xdr:spPr>
        <a:xfrm>
          <a:off x="3154680" y="2773680"/>
          <a:ext cx="1188720" cy="480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</xdr:colOff>
      <xdr:row>13</xdr:row>
      <xdr:rowOff>106680</xdr:rowOff>
    </xdr:from>
    <xdr:to>
      <xdr:col>16</xdr:col>
      <xdr:colOff>335280</xdr:colOff>
      <xdr:row>14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86F511D-9B7D-4AAD-A1A1-66E3C4983698}"/>
            </a:ext>
          </a:extLst>
        </xdr:cNvPr>
        <xdr:cNvCxnSpPr/>
      </xdr:nvCxnSpPr>
      <xdr:spPr>
        <a:xfrm flipV="1">
          <a:off x="5570220" y="3078480"/>
          <a:ext cx="1104900" cy="251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14</xdr:row>
      <xdr:rowOff>83820</xdr:rowOff>
    </xdr:from>
    <xdr:to>
      <xdr:col>17</xdr:col>
      <xdr:colOff>53340</xdr:colOff>
      <xdr:row>17</xdr:row>
      <xdr:rowOff>7620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C042DE1-605D-4103-9A76-6BF422FB8CD6}"/>
            </a:ext>
          </a:extLst>
        </xdr:cNvPr>
        <xdr:cNvCxnSpPr/>
      </xdr:nvCxnSpPr>
      <xdr:spPr>
        <a:xfrm flipV="1">
          <a:off x="3208020" y="3284220"/>
          <a:ext cx="3581400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388620</xdr:colOff>
      <xdr:row>4</xdr:row>
      <xdr:rowOff>91440</xdr:rowOff>
    </xdr:from>
    <xdr:to>
      <xdr:col>20</xdr:col>
      <xdr:colOff>30480</xdr:colOff>
      <xdr:row>7</xdr:row>
      <xdr:rowOff>106680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770FD8E-9DDA-436B-8EC8-7A6D9E3E4D13}"/>
            </a:ext>
          </a:extLst>
        </xdr:cNvPr>
        <xdr:cNvCxnSpPr/>
      </xdr:nvCxnSpPr>
      <xdr:spPr>
        <a:xfrm>
          <a:off x="6332220" y="1005840"/>
          <a:ext cx="162306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388620</xdr:colOff>
      <xdr:row>10</xdr:row>
      <xdr:rowOff>0</xdr:rowOff>
    </xdr:from>
    <xdr:to>
      <xdr:col>17</xdr:col>
      <xdr:colOff>0</xdr:colOff>
      <xdr:row>12</xdr:row>
      <xdr:rowOff>190500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100713D-0078-4EFB-9E7B-BF116FE27B2A}"/>
            </a:ext>
          </a:extLst>
        </xdr:cNvPr>
        <xdr:cNvCxnSpPr/>
      </xdr:nvCxnSpPr>
      <xdr:spPr>
        <a:xfrm>
          <a:off x="6332220" y="2286000"/>
          <a:ext cx="403860" cy="64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358140</xdr:colOff>
      <xdr:row>9</xdr:row>
      <xdr:rowOff>7620</xdr:rowOff>
    </xdr:from>
    <xdr:to>
      <xdr:col>20</xdr:col>
      <xdr:colOff>30480</xdr:colOff>
      <xdr:row>12</xdr:row>
      <xdr:rowOff>220980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47C18E3-A291-40E7-A8D3-424DF155C43B}"/>
            </a:ext>
          </a:extLst>
        </xdr:cNvPr>
        <xdr:cNvCxnSpPr/>
      </xdr:nvCxnSpPr>
      <xdr:spPr>
        <a:xfrm flipV="1">
          <a:off x="7886700" y="2065020"/>
          <a:ext cx="68580" cy="8991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</xdr:row>
      <xdr:rowOff>175260</xdr:rowOff>
    </xdr:from>
    <xdr:to>
      <xdr:col>23</xdr:col>
      <xdr:colOff>350520</xdr:colOff>
      <xdr:row>7</xdr:row>
      <xdr:rowOff>175260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A587753-BC18-44D8-9C88-30DA6EABAF39}"/>
            </a:ext>
          </a:extLst>
        </xdr:cNvPr>
        <xdr:cNvCxnSpPr/>
      </xdr:nvCxnSpPr>
      <xdr:spPr>
        <a:xfrm>
          <a:off x="9113520" y="177546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350520</xdr:colOff>
      <xdr:row>0</xdr:row>
      <xdr:rowOff>106680</xdr:rowOff>
    </xdr:from>
    <xdr:to>
      <xdr:col>5</xdr:col>
      <xdr:colOff>304800</xdr:colOff>
      <xdr:row>0</xdr:row>
      <xdr:rowOff>106680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DDDBA5A-BED5-4C01-91C8-56176E82FD5E}"/>
            </a:ext>
          </a:extLst>
        </xdr:cNvPr>
        <xdr:cNvCxnSpPr/>
      </xdr:nvCxnSpPr>
      <xdr:spPr>
        <a:xfrm>
          <a:off x="1935480" y="106680"/>
          <a:ext cx="3505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167640</xdr:colOff>
      <xdr:row>0</xdr:row>
      <xdr:rowOff>99060</xdr:rowOff>
    </xdr:from>
    <xdr:to>
      <xdr:col>31</xdr:col>
      <xdr:colOff>259080</xdr:colOff>
      <xdr:row>0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DCC9490-9BF7-47AA-9D23-0A66F4C9EE76}"/>
            </a:ext>
          </a:extLst>
        </xdr:cNvPr>
        <xdr:cNvCxnSpPr/>
      </xdr:nvCxnSpPr>
      <xdr:spPr>
        <a:xfrm flipH="1">
          <a:off x="12054840" y="99060"/>
          <a:ext cx="4876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160020</xdr:colOff>
      <xdr:row>0</xdr:row>
      <xdr:rowOff>30480</xdr:rowOff>
    </xdr:from>
    <xdr:to>
      <xdr:col>29</xdr:col>
      <xdr:colOff>1181691</xdr:colOff>
      <xdr:row>12</xdr:row>
      <xdr:rowOff>227971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857B431-A721-F935-0C48-6A27CD11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30480"/>
          <a:ext cx="5090751" cy="2940691"/>
        </a:xfrm>
        <a:prstGeom prst="rect">
          <a:avLst/>
        </a:prstGeom>
      </xdr:spPr>
    </xdr:pic>
    <xdr:clientData/>
  </xdr:twoCellAnchor>
  <xdr:twoCellAnchor>
    <xdr:from>
      <xdr:col>15</xdr:col>
      <xdr:colOff>190500</xdr:colOff>
      <xdr:row>6</xdr:row>
      <xdr:rowOff>175260</xdr:rowOff>
    </xdr:from>
    <xdr:to>
      <xdr:col>19</xdr:col>
      <xdr:colOff>45720</xdr:colOff>
      <xdr:row>9</xdr:row>
      <xdr:rowOff>129540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5877921-7E7C-28DD-3783-C745552D0393}"/>
            </a:ext>
          </a:extLst>
        </xdr:cNvPr>
        <xdr:cNvSpPr/>
      </xdr:nvSpPr>
      <xdr:spPr>
        <a:xfrm>
          <a:off x="6134100" y="1546860"/>
          <a:ext cx="1440180" cy="6400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D05F-55C2-40CA-850F-527698FA418F}">
  <dimension ref="A1"/>
  <sheetViews>
    <sheetView workbookViewId="0">
      <selection activeCell="Q18" sqref="Q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4326-127B-4ECD-B7D3-CFDDACD1B194}">
  <dimension ref="A1:AH21"/>
  <sheetViews>
    <sheetView workbookViewId="0">
      <selection activeCell="B22" sqref="B22"/>
    </sheetView>
  </sheetViews>
  <sheetFormatPr defaultRowHeight="18" x14ac:dyDescent="0.35"/>
  <cols>
    <col min="1" max="33" width="5.77734375" style="1" customWidth="1"/>
    <col min="34" max="38" width="5.77734375" customWidth="1"/>
  </cols>
  <sheetData>
    <row r="1" spans="2:34" x14ac:dyDescent="0.35">
      <c r="G1" s="1" t="s">
        <v>18</v>
      </c>
      <c r="W1" s="1" t="s">
        <v>21</v>
      </c>
    </row>
    <row r="2" spans="2:34" x14ac:dyDescent="0.35">
      <c r="G2" s="1" t="s">
        <v>19</v>
      </c>
      <c r="W2" s="1" t="s">
        <v>22</v>
      </c>
    </row>
    <row r="3" spans="2:34" x14ac:dyDescent="0.35">
      <c r="G3" s="1" t="s">
        <v>20</v>
      </c>
      <c r="W3" s="1" t="s">
        <v>23</v>
      </c>
    </row>
    <row r="5" spans="2:34" x14ac:dyDescent="0.35">
      <c r="C5" s="2" t="s">
        <v>0</v>
      </c>
      <c r="D5" s="3" t="s">
        <v>4</v>
      </c>
      <c r="E5" s="2" t="s">
        <v>1</v>
      </c>
      <c r="H5" s="1" t="s">
        <v>15</v>
      </c>
      <c r="N5" s="2">
        <f>MAX(L11,H8)</f>
        <v>10</v>
      </c>
      <c r="O5" s="5" t="s">
        <v>10</v>
      </c>
      <c r="P5" s="2">
        <f>N5+O6</f>
        <v>34</v>
      </c>
    </row>
    <row r="6" spans="2:34" x14ac:dyDescent="0.35">
      <c r="C6" s="4" t="s">
        <v>2</v>
      </c>
      <c r="D6" s="3" t="s">
        <v>5</v>
      </c>
      <c r="E6" s="4" t="s">
        <v>3</v>
      </c>
      <c r="N6" s="4">
        <f>P6-O6</f>
        <v>10</v>
      </c>
      <c r="O6" s="3">
        <v>24</v>
      </c>
      <c r="P6" s="4">
        <f>MIN(U9)</f>
        <v>34</v>
      </c>
      <c r="AH6" s="1"/>
    </row>
    <row r="8" spans="2:34" x14ac:dyDescent="0.35">
      <c r="F8" s="2">
        <f>MAX(D11)</f>
        <v>0</v>
      </c>
      <c r="G8" s="3" t="s">
        <v>8</v>
      </c>
      <c r="H8" s="2">
        <f>F8+G9</f>
        <v>4</v>
      </c>
      <c r="U8" s="2">
        <f>MAX(P5,T14)</f>
        <v>34</v>
      </c>
      <c r="V8" s="5" t="s">
        <v>13</v>
      </c>
      <c r="W8" s="2">
        <f>U8+V9</f>
        <v>37</v>
      </c>
      <c r="Y8" s="2">
        <f>MAX(W8)</f>
        <v>37</v>
      </c>
      <c r="Z8" s="3" t="s">
        <v>17</v>
      </c>
      <c r="AA8" s="2">
        <f>Y8+Z9</f>
        <v>37</v>
      </c>
    </row>
    <row r="9" spans="2:34" x14ac:dyDescent="0.35">
      <c r="F9" s="4">
        <f>H9-G9</f>
        <v>6</v>
      </c>
      <c r="G9" s="3">
        <v>4</v>
      </c>
      <c r="H9" s="4">
        <f>MIN(N10,N6)</f>
        <v>10</v>
      </c>
      <c r="N9" s="2">
        <f>MAX(L11,H8)</f>
        <v>10</v>
      </c>
      <c r="O9" s="3" t="s">
        <v>9</v>
      </c>
      <c r="P9" s="2">
        <f>N9+O10</f>
        <v>20</v>
      </c>
      <c r="U9" s="4">
        <f>W9-V9</f>
        <v>34</v>
      </c>
      <c r="V9" s="3">
        <v>3</v>
      </c>
      <c r="W9" s="4">
        <f>MIN(Y9)</f>
        <v>37</v>
      </c>
      <c r="Y9" s="4">
        <f>AA9-Z9</f>
        <v>37</v>
      </c>
      <c r="Z9" s="3">
        <v>0</v>
      </c>
      <c r="AA9" s="4">
        <f>AA8</f>
        <v>37</v>
      </c>
    </row>
    <row r="10" spans="2:34" x14ac:dyDescent="0.35">
      <c r="N10" s="4">
        <f>P10-O10</f>
        <v>14</v>
      </c>
      <c r="O10" s="3">
        <v>10</v>
      </c>
      <c r="P10" s="4">
        <f>MIN(R15)</f>
        <v>24</v>
      </c>
    </row>
    <row r="11" spans="2:34" x14ac:dyDescent="0.35">
      <c r="B11" s="2">
        <v>0</v>
      </c>
      <c r="C11" s="3" t="s">
        <v>14</v>
      </c>
      <c r="D11" s="2">
        <f>B11+C12</f>
        <v>0</v>
      </c>
      <c r="F11" s="2">
        <f>MAX(D11)</f>
        <v>0</v>
      </c>
      <c r="G11" s="5" t="s">
        <v>6</v>
      </c>
      <c r="H11" s="2">
        <f>F11+G12</f>
        <v>4</v>
      </c>
      <c r="J11" s="2">
        <f>MAX(H11)</f>
        <v>4</v>
      </c>
      <c r="K11" s="5" t="s">
        <v>7</v>
      </c>
      <c r="L11" s="2">
        <f>J11+K12</f>
        <v>10</v>
      </c>
    </row>
    <row r="12" spans="2:34" x14ac:dyDescent="0.35">
      <c r="B12" s="4">
        <f>D12-C12</f>
        <v>0</v>
      </c>
      <c r="C12" s="3">
        <v>0</v>
      </c>
      <c r="D12" s="4">
        <f>MIN(F12,F9,F17)</f>
        <v>0</v>
      </c>
      <c r="F12" s="4">
        <f>H12-G12</f>
        <v>0</v>
      </c>
      <c r="G12" s="3">
        <v>4</v>
      </c>
      <c r="H12" s="4">
        <f>MIN(J12,L15)</f>
        <v>4</v>
      </c>
      <c r="J12" s="4">
        <f>L12-K12</f>
        <v>4</v>
      </c>
      <c r="K12" s="3">
        <v>6</v>
      </c>
      <c r="L12" s="4">
        <f>MIN(N6,N10)</f>
        <v>10</v>
      </c>
    </row>
    <row r="14" spans="2:34" x14ac:dyDescent="0.35">
      <c r="L14" s="2">
        <f>MAX(H11)</f>
        <v>4</v>
      </c>
      <c r="M14" s="3" t="s">
        <v>11</v>
      </c>
      <c r="N14" s="2">
        <f>L14+M15</f>
        <v>11</v>
      </c>
      <c r="R14" s="2">
        <f>MAX(H16,P9,N14)</f>
        <v>20</v>
      </c>
      <c r="S14" s="3" t="s">
        <v>12</v>
      </c>
      <c r="T14" s="2">
        <f>R14+S15</f>
        <v>30</v>
      </c>
    </row>
    <row r="15" spans="2:34" x14ac:dyDescent="0.35">
      <c r="L15" s="4">
        <f>N15-M15</f>
        <v>17</v>
      </c>
      <c r="M15" s="3">
        <v>7</v>
      </c>
      <c r="N15" s="4">
        <f>MIN(R15)</f>
        <v>24</v>
      </c>
      <c r="R15" s="4">
        <f>T15-S15</f>
        <v>24</v>
      </c>
      <c r="S15" s="3">
        <v>10</v>
      </c>
      <c r="T15" s="4">
        <f>MIN(U9)</f>
        <v>34</v>
      </c>
    </row>
    <row r="16" spans="2:34" x14ac:dyDescent="0.35">
      <c r="F16" s="2">
        <f>MAX(D11)</f>
        <v>0</v>
      </c>
      <c r="G16" s="3" t="s">
        <v>16</v>
      </c>
      <c r="H16" s="2">
        <f>F16+G17</f>
        <v>12</v>
      </c>
    </row>
    <row r="17" spans="2:8" x14ac:dyDescent="0.35">
      <c r="F17" s="4">
        <f>H17-G17</f>
        <v>12</v>
      </c>
      <c r="G17" s="3">
        <v>12</v>
      </c>
      <c r="H17" s="4">
        <f>MIN(R15)</f>
        <v>24</v>
      </c>
    </row>
    <row r="19" spans="2:8" x14ac:dyDescent="0.35">
      <c r="B19" s="1" t="s">
        <v>24</v>
      </c>
      <c r="G19" s="1" t="s">
        <v>25</v>
      </c>
    </row>
    <row r="20" spans="2:8" x14ac:dyDescent="0.35">
      <c r="B20" s="1" t="s">
        <v>26</v>
      </c>
      <c r="E20" s="1" t="s">
        <v>27</v>
      </c>
    </row>
    <row r="21" spans="2:8" x14ac:dyDescent="0.35">
      <c r="B21" s="1" t="s"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CA38-EF5D-439B-8C0E-7E6B5853E7A3}">
  <dimension ref="A1:AH22"/>
  <sheetViews>
    <sheetView tabSelected="1" topLeftCell="A2" workbookViewId="0">
      <selection activeCell="Z15" sqref="Z15:AD21"/>
    </sheetView>
  </sheetViews>
  <sheetFormatPr defaultRowHeight="18" x14ac:dyDescent="0.35"/>
  <cols>
    <col min="1" max="26" width="5.77734375" style="1" customWidth="1"/>
    <col min="27" max="27" width="15.44140625" style="1" customWidth="1"/>
    <col min="28" max="28" width="9.88671875" style="1" customWidth="1"/>
    <col min="29" max="29" width="10.88671875" style="1" customWidth="1"/>
    <col min="30" max="30" width="20.6640625" style="1" customWidth="1"/>
    <col min="31" max="33" width="5.77734375" style="1" customWidth="1"/>
    <col min="34" max="38" width="5.77734375" customWidth="1"/>
  </cols>
  <sheetData>
    <row r="1" spans="2:34" x14ac:dyDescent="0.35">
      <c r="G1" s="1" t="s">
        <v>18</v>
      </c>
      <c r="W1" s="1" t="s">
        <v>21</v>
      </c>
    </row>
    <row r="2" spans="2:34" x14ac:dyDescent="0.35">
      <c r="G2" s="1" t="s">
        <v>19</v>
      </c>
      <c r="W2" s="1" t="s">
        <v>22</v>
      </c>
    </row>
    <row r="3" spans="2:34" x14ac:dyDescent="0.35">
      <c r="G3" s="1" t="s">
        <v>20</v>
      </c>
      <c r="W3" s="1" t="s">
        <v>23</v>
      </c>
    </row>
    <row r="5" spans="2:34" x14ac:dyDescent="0.35">
      <c r="C5" s="2" t="s">
        <v>0</v>
      </c>
      <c r="D5" s="3" t="s">
        <v>4</v>
      </c>
      <c r="E5" s="2" t="s">
        <v>1</v>
      </c>
      <c r="H5" s="1" t="s">
        <v>15</v>
      </c>
      <c r="N5" s="2">
        <f>MAX(L11,H8)</f>
        <v>7</v>
      </c>
      <c r="O5" s="5" t="s">
        <v>10</v>
      </c>
      <c r="P5" s="2">
        <f>N5+O6</f>
        <v>26</v>
      </c>
    </row>
    <row r="6" spans="2:34" x14ac:dyDescent="0.35">
      <c r="C6" s="4" t="s">
        <v>2</v>
      </c>
      <c r="D6" s="3" t="s">
        <v>5</v>
      </c>
      <c r="E6" s="4" t="s">
        <v>3</v>
      </c>
      <c r="N6" s="4">
        <f>P6-O6</f>
        <v>7</v>
      </c>
      <c r="O6" s="3">
        <v>19</v>
      </c>
      <c r="P6" s="4">
        <f>MIN(U9)</f>
        <v>26</v>
      </c>
      <c r="AH6" s="1"/>
    </row>
    <row r="8" spans="2:34" x14ac:dyDescent="0.35">
      <c r="F8" s="2">
        <f>MAX(D11)</f>
        <v>0</v>
      </c>
      <c r="G8" s="3" t="s">
        <v>8</v>
      </c>
      <c r="H8" s="2">
        <f>F8+G9</f>
        <v>4</v>
      </c>
      <c r="U8" s="2">
        <f>MAX(P5,T14)</f>
        <v>26</v>
      </c>
      <c r="V8" s="5" t="s">
        <v>13</v>
      </c>
      <c r="W8" s="2">
        <f>U8+V9</f>
        <v>28</v>
      </c>
      <c r="Y8" s="2">
        <f>MAX(W8)</f>
        <v>28</v>
      </c>
      <c r="Z8" s="3" t="s">
        <v>17</v>
      </c>
      <c r="AA8" s="2">
        <f>Y8+Z9</f>
        <v>28</v>
      </c>
    </row>
    <row r="9" spans="2:34" x14ac:dyDescent="0.35">
      <c r="F9" s="4">
        <f>H9-G9</f>
        <v>3</v>
      </c>
      <c r="G9" s="3">
        <v>4</v>
      </c>
      <c r="H9" s="4">
        <f>MIN(N10,N6)</f>
        <v>7</v>
      </c>
      <c r="N9" s="2">
        <f>MAX(L11,H8)</f>
        <v>7</v>
      </c>
      <c r="O9" s="5" t="s">
        <v>9</v>
      </c>
      <c r="P9" s="2">
        <f>N9+O10</f>
        <v>16</v>
      </c>
      <c r="U9" s="4">
        <f>W9-V9</f>
        <v>26</v>
      </c>
      <c r="V9" s="3">
        <v>2</v>
      </c>
      <c r="W9" s="4">
        <f>MIN(Y9)</f>
        <v>28</v>
      </c>
      <c r="Y9" s="4">
        <f>AA9-Z9</f>
        <v>28</v>
      </c>
      <c r="Z9" s="3">
        <v>0</v>
      </c>
      <c r="AA9" s="4">
        <f>AA8</f>
        <v>28</v>
      </c>
    </row>
    <row r="10" spans="2:34" x14ac:dyDescent="0.35">
      <c r="N10" s="4">
        <f>P10-O10</f>
        <v>7</v>
      </c>
      <c r="O10" s="3">
        <v>9</v>
      </c>
      <c r="P10" s="4">
        <f>MIN(R15)</f>
        <v>16</v>
      </c>
    </row>
    <row r="11" spans="2:34" x14ac:dyDescent="0.35">
      <c r="B11" s="2">
        <v>0</v>
      </c>
      <c r="C11" s="3" t="s">
        <v>14</v>
      </c>
      <c r="D11" s="2">
        <f>B11+C12</f>
        <v>0</v>
      </c>
      <c r="F11" s="2">
        <f>MAX(D11)</f>
        <v>0</v>
      </c>
      <c r="G11" s="5" t="s">
        <v>6</v>
      </c>
      <c r="H11" s="2">
        <f>F11+G12</f>
        <v>2</v>
      </c>
      <c r="J11" s="2">
        <f>MAX(H11)</f>
        <v>2</v>
      </c>
      <c r="K11" s="5" t="s">
        <v>7</v>
      </c>
      <c r="L11" s="2">
        <f>J11+K12</f>
        <v>7</v>
      </c>
    </row>
    <row r="12" spans="2:34" x14ac:dyDescent="0.35">
      <c r="B12" s="4">
        <f>D12-C12</f>
        <v>0</v>
      </c>
      <c r="C12" s="3">
        <v>0</v>
      </c>
      <c r="D12" s="4">
        <f>MIN(F12,F9,F17)</f>
        <v>0</v>
      </c>
      <c r="F12" s="4">
        <f>H12-G12</f>
        <v>0</v>
      </c>
      <c r="G12" s="3">
        <v>2</v>
      </c>
      <c r="H12" s="4">
        <f>MIN(J12,L15)</f>
        <v>2</v>
      </c>
      <c r="J12" s="4">
        <f>L12-K12</f>
        <v>2</v>
      </c>
      <c r="K12" s="3">
        <v>5</v>
      </c>
      <c r="L12" s="4">
        <f>MIN(N6,N10)</f>
        <v>7</v>
      </c>
    </row>
    <row r="14" spans="2:34" x14ac:dyDescent="0.35">
      <c r="L14" s="2">
        <f>MAX(H11)</f>
        <v>2</v>
      </c>
      <c r="M14" s="3" t="s">
        <v>11</v>
      </c>
      <c r="N14" s="2">
        <f>L14+M15</f>
        <v>9</v>
      </c>
      <c r="R14" s="2">
        <f>MAX(H16,P9,N14)</f>
        <v>16</v>
      </c>
      <c r="S14" s="5" t="s">
        <v>12</v>
      </c>
      <c r="T14" s="2">
        <f>R14+S15</f>
        <v>26</v>
      </c>
    </row>
    <row r="15" spans="2:34" x14ac:dyDescent="0.35">
      <c r="L15" s="4">
        <f>N15-M15</f>
        <v>9</v>
      </c>
      <c r="M15" s="3">
        <v>7</v>
      </c>
      <c r="N15" s="4">
        <f>MIN(R15)</f>
        <v>16</v>
      </c>
      <c r="R15" s="4">
        <f>T15-S15</f>
        <v>16</v>
      </c>
      <c r="S15" s="3">
        <v>10</v>
      </c>
      <c r="T15" s="4">
        <f>MIN(U9)</f>
        <v>26</v>
      </c>
      <c r="Z15" s="6" t="s">
        <v>29</v>
      </c>
      <c r="AA15" s="6" t="s">
        <v>30</v>
      </c>
      <c r="AB15" s="6" t="s">
        <v>31</v>
      </c>
      <c r="AC15" s="6" t="s">
        <v>32</v>
      </c>
      <c r="AD15" s="6" t="s">
        <v>33</v>
      </c>
    </row>
    <row r="16" spans="2:34" x14ac:dyDescent="0.35">
      <c r="F16" s="2">
        <f>MAX(D11)</f>
        <v>0</v>
      </c>
      <c r="G16" s="3" t="s">
        <v>16</v>
      </c>
      <c r="H16" s="2">
        <f>F16+G17</f>
        <v>12</v>
      </c>
      <c r="Z16" s="6">
        <v>1</v>
      </c>
      <c r="AA16" s="6" t="s">
        <v>13</v>
      </c>
      <c r="AB16" s="6">
        <v>1</v>
      </c>
      <c r="AC16" s="6">
        <f>S18*AB16</f>
        <v>3</v>
      </c>
      <c r="AD16" s="6" t="s">
        <v>35</v>
      </c>
    </row>
    <row r="17" spans="2:30" x14ac:dyDescent="0.35">
      <c r="F17" s="4">
        <f>H17-G17</f>
        <v>4</v>
      </c>
      <c r="G17" s="3">
        <v>12</v>
      </c>
      <c r="H17" s="4">
        <f>MIN(R15)</f>
        <v>16</v>
      </c>
      <c r="N17" s="1" t="s">
        <v>34</v>
      </c>
      <c r="P17" s="7" t="s">
        <v>6</v>
      </c>
      <c r="Q17" s="7" t="s">
        <v>7</v>
      </c>
      <c r="R17" s="7" t="s">
        <v>10</v>
      </c>
      <c r="S17" s="9" t="s">
        <v>13</v>
      </c>
      <c r="T17" s="7" t="s">
        <v>39</v>
      </c>
      <c r="U17" s="7"/>
      <c r="V17" s="7" t="s">
        <v>7</v>
      </c>
      <c r="W17" s="10" t="s">
        <v>40</v>
      </c>
      <c r="X17" s="11" t="s">
        <v>41</v>
      </c>
      <c r="Z17" s="6">
        <v>2</v>
      </c>
      <c r="AA17" s="6" t="s">
        <v>6</v>
      </c>
      <c r="AB17" s="6">
        <v>2</v>
      </c>
      <c r="AC17" s="6">
        <f>P20*AB17</f>
        <v>10</v>
      </c>
      <c r="AD17" s="6"/>
    </row>
    <row r="18" spans="2:30" x14ac:dyDescent="0.35">
      <c r="P18" s="7">
        <v>5</v>
      </c>
      <c r="Q18" s="7">
        <v>19</v>
      </c>
      <c r="R18" s="7">
        <v>13</v>
      </c>
      <c r="S18" s="9">
        <v>3</v>
      </c>
      <c r="T18" s="7"/>
      <c r="U18" s="7"/>
      <c r="V18" s="7">
        <v>19</v>
      </c>
      <c r="W18" s="10">
        <v>18</v>
      </c>
      <c r="X18" s="11">
        <v>20</v>
      </c>
      <c r="Z18" s="6">
        <v>3</v>
      </c>
      <c r="AA18" s="6" t="s">
        <v>10</v>
      </c>
      <c r="AB18" s="6">
        <v>4</v>
      </c>
      <c r="AC18" s="6">
        <f>Q22*AB18</f>
        <v>52</v>
      </c>
      <c r="AD18" s="6"/>
    </row>
    <row r="19" spans="2:30" x14ac:dyDescent="0.35">
      <c r="B19" s="1" t="s">
        <v>24</v>
      </c>
      <c r="G19" s="1" t="s">
        <v>25</v>
      </c>
      <c r="N19" s="1" t="s">
        <v>36</v>
      </c>
      <c r="P19" s="9" t="s">
        <v>6</v>
      </c>
      <c r="Q19" s="7" t="s">
        <v>7</v>
      </c>
      <c r="R19" s="7" t="s">
        <v>10</v>
      </c>
      <c r="S19" s="7"/>
      <c r="T19" s="7" t="s">
        <v>42</v>
      </c>
      <c r="U19" s="7"/>
      <c r="V19" s="7" t="s">
        <v>7</v>
      </c>
      <c r="Z19" s="6">
        <v>4</v>
      </c>
      <c r="AA19" s="6" t="s">
        <v>40</v>
      </c>
      <c r="AB19" s="6">
        <v>1</v>
      </c>
      <c r="AC19" s="6">
        <f>W18*AB19</f>
        <v>18</v>
      </c>
      <c r="AD19" s="6"/>
    </row>
    <row r="20" spans="2:30" x14ac:dyDescent="0.35">
      <c r="B20" s="1" t="s">
        <v>26</v>
      </c>
      <c r="E20" s="1" t="s">
        <v>27</v>
      </c>
      <c r="H20" s="1" t="s">
        <v>27</v>
      </c>
      <c r="P20" s="9">
        <v>5</v>
      </c>
      <c r="Q20" s="7">
        <v>19</v>
      </c>
      <c r="R20" s="7">
        <v>13</v>
      </c>
      <c r="S20" s="7"/>
      <c r="T20" s="7"/>
      <c r="U20" s="7"/>
      <c r="V20" s="7">
        <v>19</v>
      </c>
      <c r="Z20" s="6">
        <v>5</v>
      </c>
      <c r="AA20" s="6" t="s">
        <v>7</v>
      </c>
      <c r="AB20" s="6">
        <v>1</v>
      </c>
      <c r="AC20" s="6">
        <f>V20*AB20</f>
        <v>19</v>
      </c>
      <c r="AD20" s="6"/>
    </row>
    <row r="21" spans="2:30" x14ac:dyDescent="0.35">
      <c r="B21" s="1" t="s">
        <v>28</v>
      </c>
      <c r="H21" s="1" t="s">
        <v>38</v>
      </c>
      <c r="N21" s="1" t="s">
        <v>37</v>
      </c>
      <c r="P21" s="7" t="s">
        <v>7</v>
      </c>
      <c r="Q21" s="8" t="s">
        <v>10</v>
      </c>
      <c r="R21" s="7"/>
      <c r="S21" s="7"/>
      <c r="T21" s="7"/>
      <c r="U21" s="7"/>
      <c r="V21" s="7"/>
      <c r="Z21" s="6"/>
      <c r="AA21" s="12" t="s">
        <v>43</v>
      </c>
      <c r="AB21" s="12">
        <f>SUM(AB16:AB20)</f>
        <v>9</v>
      </c>
      <c r="AC21" s="12">
        <f>SUM(AC16:AC20)</f>
        <v>102</v>
      </c>
      <c r="AD21" s="6"/>
    </row>
    <row r="22" spans="2:30" x14ac:dyDescent="0.35">
      <c r="P22" s="7">
        <v>19</v>
      </c>
      <c r="Q22" s="8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AOA</vt:lpstr>
      <vt:lpstr>PDM</vt:lpstr>
      <vt:lpstr>PDM RNTG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Truong Minh</dc:creator>
  <cp:lastModifiedBy>Thai Truong Minh</cp:lastModifiedBy>
  <dcterms:created xsi:type="dcterms:W3CDTF">2026-06-08T07:32:41Z</dcterms:created>
  <dcterms:modified xsi:type="dcterms:W3CDTF">2026-06-15T08:33:16Z</dcterms:modified>
</cp:coreProperties>
</file>
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Giảng dạy\HK 3 2025-2026\32526-CT22302\"/>
    </mc:Choice>
  </mc:AlternateContent>
  <xr:revisionPtr revIDLastSave="0" documentId="13_ncr:1_{34E396DF-CD55-4F3B-AFF9-1CBCA0405463}" xr6:coauthVersionLast="47" xr6:coauthVersionMax="47" xr10:uidLastSave="{00000000-0000-0000-0000-000000000000}"/>
  <bookViews>
    <workbookView xWindow="-108" yWindow="-108" windowWidth="23256" windowHeight="12456" activeTab="1" xr2:uid="{07DC50AF-7DFF-4186-94F0-F5BCFA412718}"/>
  </bookViews>
  <sheets>
    <sheet name="AOA" sheetId="1" r:id="rId1"/>
    <sheet name="P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2" l="1"/>
  <c r="H10" i="2" s="1"/>
  <c r="N16" i="2"/>
  <c r="L16" i="2" s="1"/>
  <c r="N10" i="2"/>
  <c r="L10" i="2" s="1"/>
  <c r="O6" i="2"/>
  <c r="M6" i="2" s="1"/>
  <c r="R10" i="2"/>
  <c r="P10" i="2" s="1"/>
  <c r="S14" i="2"/>
  <c r="V10" i="2"/>
  <c r="T10" i="2" s="1"/>
  <c r="V6" i="2"/>
  <c r="T6" i="2" s="1"/>
  <c r="Z15" i="2"/>
  <c r="X15" i="2" s="1"/>
  <c r="AC8" i="2"/>
  <c r="AA8" i="2" s="1"/>
  <c r="Q14" i="2"/>
  <c r="AE8" i="2"/>
  <c r="AG8" i="2"/>
  <c r="AE7" i="2"/>
  <c r="AG7" i="2" s="1"/>
  <c r="T5" i="2"/>
  <c r="V5" i="2" s="1"/>
  <c r="AA7" i="2" s="1"/>
  <c r="AC7" i="2" s="1"/>
  <c r="S13" i="2"/>
  <c r="X14" i="2" s="1"/>
  <c r="Z14" i="2" s="1"/>
  <c r="Q13" i="2"/>
  <c r="T9" i="2"/>
  <c r="P9" i="2"/>
  <c r="R9" i="2" s="1"/>
  <c r="L15" i="2"/>
  <c r="M5" i="2"/>
  <c r="L9" i="2"/>
  <c r="N9" i="2" s="1"/>
  <c r="V9" i="2"/>
  <c r="O5" i="2"/>
  <c r="N15" i="2"/>
  <c r="J9" i="2"/>
</calcChain>
</file>

<file path=xl/sharedStrings.xml><?xml version="1.0" encoding="utf-8"?>
<sst xmlns="http://schemas.openxmlformats.org/spreadsheetml/2006/main" count="31" uniqueCount="31">
  <si>
    <t>1-2--3-5-6</t>
  </si>
  <si>
    <t>31 tháng</t>
  </si>
  <si>
    <t>ES</t>
  </si>
  <si>
    <t>EF</t>
  </si>
  <si>
    <t>LS</t>
  </si>
  <si>
    <t>LF</t>
  </si>
  <si>
    <t>Task</t>
  </si>
  <si>
    <t>Dur</t>
  </si>
  <si>
    <t>Start</t>
  </si>
  <si>
    <t>A</t>
  </si>
  <si>
    <t>C</t>
  </si>
  <si>
    <t xml:space="preserve">D </t>
  </si>
  <si>
    <t>B</t>
  </si>
  <si>
    <t>E</t>
  </si>
  <si>
    <t>F</t>
  </si>
  <si>
    <t>G</t>
  </si>
  <si>
    <t>H</t>
  </si>
  <si>
    <t>I</t>
  </si>
  <si>
    <t>End</t>
  </si>
  <si>
    <t>ES start =0</t>
  </si>
  <si>
    <t>EF x = ES x + Dur x</t>
  </si>
  <si>
    <t>ES x = Max({ EF i}), với i là các công việc trước x</t>
  </si>
  <si>
    <t>LF end = EF end</t>
  </si>
  <si>
    <t>LS x = LF x - Dur x</t>
  </si>
  <si>
    <t>LF x = Min({ LS j }), với j là các điểm sau x</t>
  </si>
  <si>
    <t>Thời gian thực hiện dự án</t>
  </si>
  <si>
    <t>37 tháng</t>
  </si>
  <si>
    <t>Công việc găng</t>
  </si>
  <si>
    <t>A, B, F, I</t>
  </si>
  <si>
    <t>Đường găng:</t>
  </si>
  <si>
    <t>A-B-F-F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</si>
</sst>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0</xdr:row>
      <xdr:rowOff>114300</xdr:rowOff>
    </xdr:from>
    <xdr:to>
      <xdr:col>3</xdr:col>
      <xdr:colOff>167640</xdr:colOff>
      <xdr:row>4</xdr:row>
      <xdr:rowOff>53340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1424C29-779C-7BA6-93A0-3F4E585DD0F3}"/>
            </a:ext>
          </a:extLst>
        </xdr:cNvPr>
        <xdr:cNvSpPr/>
      </xdr:nvSpPr>
      <xdr:spPr>
        <a:xfrm>
          <a:off x="1280160" y="114300"/>
          <a:ext cx="7162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400"/>
        </a:p>
      </xdr:txBody>
    </xdr:sp>
    <xdr:clientData/>
  </xdr:twoCellAnchor>
  <xdr:twoCellAnchor>
    <xdr:from>
      <xdr:col>3</xdr:col>
      <xdr:colOff>571500</xdr:colOff>
      <xdr:row>0</xdr:row>
      <xdr:rowOff>152400</xdr:rowOff>
    </xdr:from>
    <xdr:to>
      <xdr:col>5</xdr:col>
      <xdr:colOff>274320</xdr:colOff>
      <xdr:row>3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6E44B84-8951-56FC-B12D-E20547E5818C}"/>
            </a:ext>
          </a:extLst>
        </xdr:cNvPr>
        <xdr:cNvSpPr/>
      </xdr:nvSpPr>
      <xdr:spPr>
        <a:xfrm>
          <a:off x="2400300" y="152400"/>
          <a:ext cx="922020" cy="4800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400"/>
        </a:p>
      </xdr:txBody>
    </xdr:sp>
    <xdr:clientData/>
  </xdr:twoCellAnchor>
  <xdr:twoCellAnchor>
    <xdr:from>
      <xdr:col>6</xdr:col>
      <xdr:colOff>45720</xdr:colOff>
      <xdr:row>1</xdr:row>
      <xdr:rowOff>106680</xdr:rowOff>
    </xdr:from>
    <xdr:to>
      <xdr:col>6</xdr:col>
      <xdr:colOff>556260</xdr:colOff>
      <xdr:row>1</xdr:row>
      <xdr:rowOff>106680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8467029-902C-589D-A1D8-378F31D453FA}"/>
            </a:ext>
          </a:extLst>
        </xdr:cNvPr>
        <xdr:cNvCxnSpPr/>
      </xdr:nvCxnSpPr>
      <xdr:spPr>
        <a:xfrm>
          <a:off x="3703320" y="289560"/>
          <a:ext cx="51054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6</xdr:row>
      <xdr:rowOff>0</xdr:rowOff>
    </xdr:from>
    <xdr:to>
      <xdr:col>6</xdr:col>
      <xdr:colOff>160351</xdr:colOff>
      <xdr:row>23</xdr:row>
      <xdr:rowOff>30752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48F3E7-3010-EAAD-DA3C-0FCF0AE90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7280"/>
          <a:ext cx="3817951" cy="3139712"/>
        </a:xfrm>
        <a:prstGeom prst="rect">
          <a:avLst/>
        </a:prstGeom>
      </xdr:spPr>
    </xdr:pic>
    <xdr:clientData/>
  </xdr:twoCellAnchor>
  <xdr:twoCellAnchor>
    <xdr:from>
      <xdr:col>7</xdr:col>
      <xdr:colOff>533400</xdr:colOff>
      <xdr:row>11</xdr:row>
      <xdr:rowOff>0</xdr:rowOff>
    </xdr:from>
    <xdr:to>
      <xdr:col>9</xdr:col>
      <xdr:colOff>30480</xdr:colOff>
      <xdr:row>14</xdr:row>
      <xdr:rowOff>121920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E44E2DE-9552-4123-BFA1-D47FC843D54A}"/>
            </a:ext>
          </a:extLst>
        </xdr:cNvPr>
        <xdr:cNvSpPr/>
      </xdr:nvSpPr>
      <xdr:spPr>
        <a:xfrm>
          <a:off x="4800600" y="2011680"/>
          <a:ext cx="7162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1</a:t>
          </a:r>
        </a:p>
      </xdr:txBody>
    </xdr:sp>
    <xdr:clientData/>
  </xdr:twoCellAnchor>
  <xdr:twoCellAnchor>
    <xdr:from>
      <xdr:col>11</xdr:col>
      <xdr:colOff>7620</xdr:colOff>
      <xdr:row>11</xdr:row>
      <xdr:rowOff>38100</xdr:rowOff>
    </xdr:from>
    <xdr:to>
      <xdr:col>12</xdr:col>
      <xdr:colOff>114300</xdr:colOff>
      <xdr:row>14</xdr:row>
      <xdr:rowOff>160020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BB6AEAF-80EF-28A6-27EB-258218D7A426}"/>
            </a:ext>
          </a:extLst>
        </xdr:cNvPr>
        <xdr:cNvSpPr/>
      </xdr:nvSpPr>
      <xdr:spPr>
        <a:xfrm>
          <a:off x="6713220" y="2049780"/>
          <a:ext cx="7162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2</a:t>
          </a:r>
        </a:p>
      </xdr:txBody>
    </xdr:sp>
    <xdr:clientData/>
  </xdr:twoCellAnchor>
  <xdr:twoCellAnchor>
    <xdr:from>
      <xdr:col>13</xdr:col>
      <xdr:colOff>365760</xdr:colOff>
      <xdr:row>4</xdr:row>
      <xdr:rowOff>106680</xdr:rowOff>
    </xdr:from>
    <xdr:to>
      <xdr:col>14</xdr:col>
      <xdr:colOff>472440</xdr:colOff>
      <xdr:row>8</xdr:row>
      <xdr:rowOff>45720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7E70C3C-1879-A54F-658D-D36E820AA016}"/>
            </a:ext>
          </a:extLst>
        </xdr:cNvPr>
        <xdr:cNvSpPr/>
      </xdr:nvSpPr>
      <xdr:spPr>
        <a:xfrm>
          <a:off x="8290560" y="838200"/>
          <a:ext cx="7162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400"/>
        </a:p>
      </xdr:txBody>
    </xdr:sp>
    <xdr:clientData/>
  </xdr:twoCellAnchor>
  <xdr:twoCellAnchor>
    <xdr:from>
      <xdr:col>16</xdr:col>
      <xdr:colOff>198120</xdr:colOff>
      <xdr:row>14</xdr:row>
      <xdr:rowOff>129540</xdr:rowOff>
    </xdr:from>
    <xdr:to>
      <xdr:col>17</xdr:col>
      <xdr:colOff>304800</xdr:colOff>
      <xdr:row>18</xdr:row>
      <xdr:rowOff>68580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3401EB6-F370-C8C4-5E09-1C2B12B5BAA3}"/>
            </a:ext>
          </a:extLst>
        </xdr:cNvPr>
        <xdr:cNvSpPr/>
      </xdr:nvSpPr>
      <xdr:spPr>
        <a:xfrm>
          <a:off x="9951720" y="2689860"/>
          <a:ext cx="7162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400"/>
        </a:p>
      </xdr:txBody>
    </xdr:sp>
    <xdr:clientData/>
  </xdr:twoCellAnchor>
  <xdr:twoCellAnchor>
    <xdr:from>
      <xdr:col>9</xdr:col>
      <xdr:colOff>30480</xdr:colOff>
      <xdr:row>12</xdr:row>
      <xdr:rowOff>152400</xdr:rowOff>
    </xdr:from>
    <xdr:to>
      <xdr:col>11</xdr:col>
      <xdr:colOff>7620</xdr:colOff>
      <xdr:row>13</xdr:row>
      <xdr:rowOff>7620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39821F6-287B-11D5-CD6B-72533D690A65}"/>
            </a:ext>
          </a:extLst>
        </xdr:cNvPr>
        <xdr:cNvCxnSpPr>
          <a:stCxn id="7" idx="6"/>
          <a:endCxn id="8" idx="2"/>
        </xdr:cNvCxnSpPr>
      </xdr:nvCxnSpPr>
      <xdr:spPr>
        <a:xfrm>
          <a:off x="5516880" y="2346960"/>
          <a:ext cx="1196340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535183</xdr:colOff>
      <xdr:row>6</xdr:row>
      <xdr:rowOff>76200</xdr:rowOff>
    </xdr:from>
    <xdr:to>
      <xdr:col>13</xdr:col>
      <xdr:colOff>365760</xdr:colOff>
      <xdr:row>11</xdr:row>
      <xdr:rowOff>98201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86B7B3B-C4F7-CD56-929F-4DF292977E95}"/>
            </a:ext>
          </a:extLst>
        </xdr:cNvPr>
        <xdr:cNvCxnSpPr>
          <a:stCxn id="7" idx="7"/>
          <a:endCxn id="24" idx="2"/>
        </xdr:cNvCxnSpPr>
      </xdr:nvCxnSpPr>
      <xdr:spPr>
        <a:xfrm flipV="1">
          <a:off x="5411983" y="1173480"/>
          <a:ext cx="2878577" cy="9364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535183</xdr:colOff>
      <xdr:row>14</xdr:row>
      <xdr:rowOff>23719</xdr:rowOff>
    </xdr:from>
    <xdr:to>
      <xdr:col>16</xdr:col>
      <xdr:colOff>198120</xdr:colOff>
      <xdr:row>16</xdr:row>
      <xdr:rowOff>99060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1C6EDCA-09FE-5566-28C7-3E850644F1A3}"/>
            </a:ext>
          </a:extLst>
        </xdr:cNvPr>
        <xdr:cNvCxnSpPr>
          <a:stCxn id="7" idx="5"/>
          <a:endCxn id="10" idx="2"/>
        </xdr:cNvCxnSpPr>
      </xdr:nvCxnSpPr>
      <xdr:spPr>
        <a:xfrm>
          <a:off x="5411983" y="2584039"/>
          <a:ext cx="4539737" cy="4411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11</xdr:row>
      <xdr:rowOff>38100</xdr:rowOff>
    </xdr:from>
    <xdr:to>
      <xdr:col>10</xdr:col>
      <xdr:colOff>426720</xdr:colOff>
      <xdr:row>13</xdr:row>
      <xdr:rowOff>60960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ACA5B6D-9647-A468-6212-F2A7F39C0B6C}"/>
            </a:ext>
          </a:extLst>
        </xdr:cNvPr>
        <xdr:cNvSpPr/>
      </xdr:nvSpPr>
      <xdr:spPr>
        <a:xfrm>
          <a:off x="5600700" y="2049780"/>
          <a:ext cx="922020" cy="3886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A=4</a:t>
          </a:r>
        </a:p>
      </xdr:txBody>
    </xdr:sp>
    <xdr:clientData/>
  </xdr:twoCellAnchor>
  <xdr:twoCellAnchor>
    <xdr:from>
      <xdr:col>10</xdr:col>
      <xdr:colOff>152400</xdr:colOff>
      <xdr:row>5</xdr:row>
      <xdr:rowOff>91440</xdr:rowOff>
    </xdr:from>
    <xdr:to>
      <xdr:col>11</xdr:col>
      <xdr:colOff>464820</xdr:colOff>
      <xdr:row>8</xdr:row>
      <xdr:rowOff>22860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0005AB8-048E-64F0-A93F-0A7CDBDE9C06}"/>
            </a:ext>
          </a:extLst>
        </xdr:cNvPr>
        <xdr:cNvSpPr/>
      </xdr:nvSpPr>
      <xdr:spPr>
        <a:xfrm>
          <a:off x="6248400" y="1005840"/>
          <a:ext cx="922020" cy="4800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C=4</a:t>
          </a:r>
        </a:p>
      </xdr:txBody>
    </xdr:sp>
    <xdr:clientData/>
  </xdr:twoCellAnchor>
  <xdr:twoCellAnchor>
    <xdr:from>
      <xdr:col>9</xdr:col>
      <xdr:colOff>76200</xdr:colOff>
      <xdr:row>16</xdr:row>
      <xdr:rowOff>152400</xdr:rowOff>
    </xdr:from>
    <xdr:to>
      <xdr:col>10</xdr:col>
      <xdr:colOff>388620</xdr:colOff>
      <xdr:row>18</xdr:row>
      <xdr:rowOff>144780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625EB42-B88E-B00D-B4A0-F6B59B7993CE}"/>
            </a:ext>
          </a:extLst>
        </xdr:cNvPr>
        <xdr:cNvSpPr/>
      </xdr:nvSpPr>
      <xdr:spPr>
        <a:xfrm>
          <a:off x="5562600" y="3078480"/>
          <a:ext cx="922020" cy="3581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D=12</a:t>
          </a:r>
        </a:p>
      </xdr:txBody>
    </xdr:sp>
    <xdr:clientData/>
  </xdr:twoCellAnchor>
  <xdr:twoCellAnchor>
    <xdr:from>
      <xdr:col>13</xdr:col>
      <xdr:colOff>365760</xdr:colOff>
      <xdr:row>4</xdr:row>
      <xdr:rowOff>106680</xdr:rowOff>
    </xdr:from>
    <xdr:to>
      <xdr:col>14</xdr:col>
      <xdr:colOff>472440</xdr:colOff>
      <xdr:row>8</xdr:row>
      <xdr:rowOff>45720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7CFE94C-CC23-3DCD-4CC2-62E9C887BADC}"/>
            </a:ext>
          </a:extLst>
        </xdr:cNvPr>
        <xdr:cNvSpPr/>
      </xdr:nvSpPr>
      <xdr:spPr>
        <a:xfrm>
          <a:off x="8290560" y="838200"/>
          <a:ext cx="7162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3</a:t>
          </a:r>
        </a:p>
      </xdr:txBody>
    </xdr:sp>
    <xdr:clientData/>
  </xdr:twoCellAnchor>
  <xdr:twoCellAnchor>
    <xdr:from>
      <xdr:col>12</xdr:col>
      <xdr:colOff>114300</xdr:colOff>
      <xdr:row>6</xdr:row>
      <xdr:rowOff>76200</xdr:rowOff>
    </xdr:from>
    <xdr:to>
      <xdr:col>13</xdr:col>
      <xdr:colOff>365760</xdr:colOff>
      <xdr:row>13</xdr:row>
      <xdr:rowOff>7620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C57E9B5-A749-CCB9-78CA-7A547EBB8139}"/>
            </a:ext>
          </a:extLst>
        </xdr:cNvPr>
        <xdr:cNvCxnSpPr>
          <a:stCxn id="8" idx="6"/>
          <a:endCxn id="24" idx="2"/>
        </xdr:cNvCxnSpPr>
      </xdr:nvCxnSpPr>
      <xdr:spPr>
        <a:xfrm flipV="1">
          <a:off x="7429500" y="1173480"/>
          <a:ext cx="861060" cy="12115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228600</xdr:colOff>
      <xdr:row>9</xdr:row>
      <xdr:rowOff>76200</xdr:rowOff>
    </xdr:from>
    <xdr:to>
      <xdr:col>13</xdr:col>
      <xdr:colOff>541020</xdr:colOff>
      <xdr:row>12</xdr:row>
      <xdr:rowOff>7620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D331004-4091-3360-F9E4-499EA990EBEB}"/>
            </a:ext>
          </a:extLst>
        </xdr:cNvPr>
        <xdr:cNvSpPr/>
      </xdr:nvSpPr>
      <xdr:spPr>
        <a:xfrm>
          <a:off x="7543800" y="1722120"/>
          <a:ext cx="922020" cy="4800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B=6</a:t>
          </a:r>
        </a:p>
      </xdr:txBody>
    </xdr:sp>
    <xdr:clientData/>
  </xdr:twoCellAnchor>
  <xdr:twoCellAnchor>
    <xdr:from>
      <xdr:col>16</xdr:col>
      <xdr:colOff>198120</xdr:colOff>
      <xdr:row>14</xdr:row>
      <xdr:rowOff>106680</xdr:rowOff>
    </xdr:from>
    <xdr:to>
      <xdr:col>17</xdr:col>
      <xdr:colOff>304800</xdr:colOff>
      <xdr:row>18</xdr:row>
      <xdr:rowOff>45720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5148979-5865-49B5-84B2-D039CABB0239}"/>
            </a:ext>
          </a:extLst>
        </xdr:cNvPr>
        <xdr:cNvSpPr/>
      </xdr:nvSpPr>
      <xdr:spPr>
        <a:xfrm>
          <a:off x="9951720" y="2667000"/>
          <a:ext cx="7162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4</a:t>
          </a:r>
        </a:p>
      </xdr:txBody>
    </xdr:sp>
    <xdr:clientData/>
  </xdr:twoCellAnchor>
  <xdr:twoCellAnchor>
    <xdr:from>
      <xdr:col>14</xdr:col>
      <xdr:colOff>472440</xdr:colOff>
      <xdr:row>6</xdr:row>
      <xdr:rowOff>76200</xdr:rowOff>
    </xdr:from>
    <xdr:to>
      <xdr:col>16</xdr:col>
      <xdr:colOff>198120</xdr:colOff>
      <xdr:row>16</xdr:row>
      <xdr:rowOff>76200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007C532-DDDD-9ADA-7E65-F6A958B23F95}"/>
            </a:ext>
          </a:extLst>
        </xdr:cNvPr>
        <xdr:cNvCxnSpPr>
          <a:stCxn id="24" idx="6"/>
          <a:endCxn id="29" idx="2"/>
        </xdr:cNvCxnSpPr>
      </xdr:nvCxnSpPr>
      <xdr:spPr>
        <a:xfrm>
          <a:off x="9006840" y="1173480"/>
          <a:ext cx="944880" cy="1828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7</xdr:row>
      <xdr:rowOff>30480</xdr:rowOff>
    </xdr:from>
    <xdr:to>
      <xdr:col>16</xdr:col>
      <xdr:colOff>350520</xdr:colOff>
      <xdr:row>9</xdr:row>
      <xdr:rowOff>144780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E8C64131-664C-BA93-68D7-635D55772631}"/>
            </a:ext>
          </a:extLst>
        </xdr:cNvPr>
        <xdr:cNvSpPr/>
      </xdr:nvSpPr>
      <xdr:spPr>
        <a:xfrm>
          <a:off x="9182100" y="1310640"/>
          <a:ext cx="922020" cy="4800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E=10</a:t>
          </a:r>
        </a:p>
      </xdr:txBody>
    </xdr:sp>
    <xdr:clientData/>
  </xdr:twoCellAnchor>
  <xdr:twoCellAnchor>
    <xdr:from>
      <xdr:col>18</xdr:col>
      <xdr:colOff>121920</xdr:colOff>
      <xdr:row>2</xdr:row>
      <xdr:rowOff>175260</xdr:rowOff>
    </xdr:from>
    <xdr:to>
      <xdr:col>19</xdr:col>
      <xdr:colOff>228600</xdr:colOff>
      <xdr:row>6</xdr:row>
      <xdr:rowOff>114300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2258DC6-DC62-0D15-2EE2-2F8C63DE77E2}"/>
            </a:ext>
          </a:extLst>
        </xdr:cNvPr>
        <xdr:cNvSpPr/>
      </xdr:nvSpPr>
      <xdr:spPr>
        <a:xfrm>
          <a:off x="11094720" y="541020"/>
          <a:ext cx="7162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5</a:t>
          </a:r>
        </a:p>
      </xdr:txBody>
    </xdr:sp>
    <xdr:clientData/>
  </xdr:twoCellAnchor>
  <xdr:twoCellAnchor>
    <xdr:from>
      <xdr:col>14</xdr:col>
      <xdr:colOff>367543</xdr:colOff>
      <xdr:row>4</xdr:row>
      <xdr:rowOff>144780</xdr:rowOff>
    </xdr:from>
    <xdr:to>
      <xdr:col>18</xdr:col>
      <xdr:colOff>121920</xdr:colOff>
      <xdr:row>5</xdr:row>
      <xdr:rowOff>22001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3FFAB6C8-E809-C607-BADB-748947C9C21E}"/>
            </a:ext>
          </a:extLst>
        </xdr:cNvPr>
        <xdr:cNvCxnSpPr>
          <a:stCxn id="24" idx="7"/>
          <a:endCxn id="38" idx="2"/>
        </xdr:cNvCxnSpPr>
      </xdr:nvCxnSpPr>
      <xdr:spPr>
        <a:xfrm flipV="1">
          <a:off x="8901943" y="876300"/>
          <a:ext cx="2192777" cy="601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480060</xdr:colOff>
      <xdr:row>3</xdr:row>
      <xdr:rowOff>22860</xdr:rowOff>
    </xdr:from>
    <xdr:to>
      <xdr:col>17</xdr:col>
      <xdr:colOff>182880</xdr:colOff>
      <xdr:row>5</xdr:row>
      <xdr:rowOff>137160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167F5DE-4E2A-ACF0-D999-5740A05C9178}"/>
            </a:ext>
          </a:extLst>
        </xdr:cNvPr>
        <xdr:cNvSpPr/>
      </xdr:nvSpPr>
      <xdr:spPr>
        <a:xfrm>
          <a:off x="9624060" y="571500"/>
          <a:ext cx="922020" cy="4800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F=24</a:t>
          </a:r>
        </a:p>
      </xdr:txBody>
    </xdr:sp>
    <xdr:clientData/>
  </xdr:twoCellAnchor>
  <xdr:twoCellAnchor>
    <xdr:from>
      <xdr:col>12</xdr:col>
      <xdr:colOff>91440</xdr:colOff>
      <xdr:row>13</xdr:row>
      <xdr:rowOff>114300</xdr:rowOff>
    </xdr:from>
    <xdr:to>
      <xdr:col>16</xdr:col>
      <xdr:colOff>198120</xdr:colOff>
      <xdr:row>16</xdr:row>
      <xdr:rowOff>76200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C165BDE-30D9-E6E3-98AF-BBA0EEEBBBF7}"/>
            </a:ext>
          </a:extLst>
        </xdr:cNvPr>
        <xdr:cNvCxnSpPr>
          <a:endCxn id="29" idx="2"/>
        </xdr:cNvCxnSpPr>
      </xdr:nvCxnSpPr>
      <xdr:spPr>
        <a:xfrm>
          <a:off x="7406640" y="2491740"/>
          <a:ext cx="2545080" cy="5105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563880</xdr:colOff>
      <xdr:row>12</xdr:row>
      <xdr:rowOff>22860</xdr:rowOff>
    </xdr:from>
    <xdr:to>
      <xdr:col>15</xdr:col>
      <xdr:colOff>266700</xdr:colOff>
      <xdr:row>14</xdr:row>
      <xdr:rowOff>137160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7927329-875A-F737-71B6-5A9584878218}"/>
            </a:ext>
          </a:extLst>
        </xdr:cNvPr>
        <xdr:cNvSpPr/>
      </xdr:nvSpPr>
      <xdr:spPr>
        <a:xfrm>
          <a:off x="8488680" y="2217420"/>
          <a:ext cx="922020" cy="4800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G=7</a:t>
          </a:r>
        </a:p>
      </xdr:txBody>
    </xdr:sp>
    <xdr:clientData/>
  </xdr:twoCellAnchor>
  <xdr:twoCellAnchor>
    <xdr:from>
      <xdr:col>17</xdr:col>
      <xdr:colOff>199903</xdr:colOff>
      <xdr:row>6</xdr:row>
      <xdr:rowOff>114300</xdr:rowOff>
    </xdr:from>
    <xdr:to>
      <xdr:col>18</xdr:col>
      <xdr:colOff>480060</xdr:colOff>
      <xdr:row>15</xdr:row>
      <xdr:rowOff>22001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1F26D2D1-BD86-7AC9-EB0D-242A59A7229D}"/>
            </a:ext>
          </a:extLst>
        </xdr:cNvPr>
        <xdr:cNvCxnSpPr>
          <a:stCxn id="29" idx="7"/>
          <a:endCxn id="38" idx="4"/>
        </xdr:cNvCxnSpPr>
      </xdr:nvCxnSpPr>
      <xdr:spPr>
        <a:xfrm flipV="1">
          <a:off x="10563103" y="1211580"/>
          <a:ext cx="889757" cy="15536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</xdr:colOff>
      <xdr:row>9</xdr:row>
      <xdr:rowOff>144780</xdr:rowOff>
    </xdr:from>
    <xdr:to>
      <xdr:col>18</xdr:col>
      <xdr:colOff>335280</xdr:colOff>
      <xdr:row>12</xdr:row>
      <xdr:rowOff>76200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2ED05F8-A5E5-1024-C2C4-80269BDA5B58}"/>
            </a:ext>
          </a:extLst>
        </xdr:cNvPr>
        <xdr:cNvSpPr/>
      </xdr:nvSpPr>
      <xdr:spPr>
        <a:xfrm>
          <a:off x="10386060" y="1790700"/>
          <a:ext cx="922020" cy="4800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H=10</a:t>
          </a:r>
        </a:p>
      </xdr:txBody>
    </xdr:sp>
    <xdr:clientData/>
  </xdr:twoCellAnchor>
  <xdr:twoCellAnchor>
    <xdr:from>
      <xdr:col>21</xdr:col>
      <xdr:colOff>350520</xdr:colOff>
      <xdr:row>6</xdr:row>
      <xdr:rowOff>22860</xdr:rowOff>
    </xdr:from>
    <xdr:to>
      <xdr:col>22</xdr:col>
      <xdr:colOff>457200</xdr:colOff>
      <xdr:row>9</xdr:row>
      <xdr:rowOff>144780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385A272F-6B93-FA9A-E3EF-93203A5542F1}"/>
            </a:ext>
          </a:extLst>
        </xdr:cNvPr>
        <xdr:cNvSpPr/>
      </xdr:nvSpPr>
      <xdr:spPr>
        <a:xfrm>
          <a:off x="13152120" y="1120140"/>
          <a:ext cx="716280" cy="6705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6</a:t>
          </a:r>
        </a:p>
      </xdr:txBody>
    </xdr:sp>
    <xdr:clientData/>
  </xdr:twoCellAnchor>
  <xdr:twoCellAnchor>
    <xdr:from>
      <xdr:col>19</xdr:col>
      <xdr:colOff>228600</xdr:colOff>
      <xdr:row>4</xdr:row>
      <xdr:rowOff>144780</xdr:rowOff>
    </xdr:from>
    <xdr:to>
      <xdr:col>21</xdr:col>
      <xdr:colOff>350520</xdr:colOff>
      <xdr:row>7</xdr:row>
      <xdr:rowOff>175260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58F4D8E0-653C-15CB-F921-C6530C10789C}"/>
            </a:ext>
          </a:extLst>
        </xdr:cNvPr>
        <xdr:cNvCxnSpPr>
          <a:stCxn id="38" idx="6"/>
          <a:endCxn id="52" idx="2"/>
        </xdr:cNvCxnSpPr>
      </xdr:nvCxnSpPr>
      <xdr:spPr>
        <a:xfrm>
          <a:off x="11811000" y="876300"/>
          <a:ext cx="1341120" cy="579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579120</xdr:colOff>
      <xdr:row>3</xdr:row>
      <xdr:rowOff>160020</xdr:rowOff>
    </xdr:from>
    <xdr:to>
      <xdr:col>21</xdr:col>
      <xdr:colOff>281940</xdr:colOff>
      <xdr:row>6</xdr:row>
      <xdr:rowOff>91440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7E2113E-5458-0BE0-315E-3BAE2E3A35E9}"/>
            </a:ext>
          </a:extLst>
        </xdr:cNvPr>
        <xdr:cNvSpPr/>
      </xdr:nvSpPr>
      <xdr:spPr>
        <a:xfrm>
          <a:off x="12161520" y="708660"/>
          <a:ext cx="922020" cy="4800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I-=3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160351</xdr:colOff>
      <xdr:row>13</xdr:row>
      <xdr:rowOff>167912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BCD19-7046-48FE-9905-D7509958C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17951" cy="3139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0</xdr:row>
      <xdr:rowOff>220980</xdr:rowOff>
    </xdr:from>
    <xdr:to>
      <xdr:col>12</xdr:col>
      <xdr:colOff>60960</xdr:colOff>
      <xdr:row>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56F2580-9CB2-53F1-EFBA-057B7C725748}"/>
            </a:ext>
          </a:extLst>
        </xdr:cNvPr>
        <xdr:cNvCxnSpPr/>
      </xdr:nvCxnSpPr>
      <xdr:spPr>
        <a:xfrm>
          <a:off x="5852160" y="22098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8</xdr:row>
      <xdr:rowOff>106680</xdr:rowOff>
    </xdr:from>
    <xdr:to>
      <xdr:col>11</xdr:col>
      <xdr:colOff>45720</xdr:colOff>
      <xdr:row>8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A27D35B-8BA2-33E4-8DE4-56A2389CE3CC}"/>
            </a:ext>
          </a:extLst>
        </xdr:cNvPr>
        <xdr:cNvCxnSpPr/>
      </xdr:nvCxnSpPr>
      <xdr:spPr>
        <a:xfrm>
          <a:off x="5440680" y="1935480"/>
          <a:ext cx="457200" cy="76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388620</xdr:colOff>
      <xdr:row>5</xdr:row>
      <xdr:rowOff>45720</xdr:rowOff>
    </xdr:from>
    <xdr:to>
      <xdr:col>11</xdr:col>
      <xdr:colOff>381000</xdr:colOff>
      <xdr:row>8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1FCDF59-98FE-BF4C-F7D7-DC9D57699E7A}"/>
            </a:ext>
          </a:extLst>
        </xdr:cNvPr>
        <xdr:cNvCxnSpPr/>
      </xdr:nvCxnSpPr>
      <xdr:spPr>
        <a:xfrm flipV="1">
          <a:off x="5448300" y="1188720"/>
          <a:ext cx="784860" cy="6400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365760</xdr:colOff>
      <xdr:row>9</xdr:row>
      <xdr:rowOff>220980</xdr:rowOff>
    </xdr:from>
    <xdr:to>
      <xdr:col>11</xdr:col>
      <xdr:colOff>53340</xdr:colOff>
      <xdr:row>13</xdr:row>
      <xdr:rowOff>213360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F05DA98-620E-86E1-59A5-DBB7EB9E979A}"/>
            </a:ext>
          </a:extLst>
        </xdr:cNvPr>
        <xdr:cNvCxnSpPr/>
      </xdr:nvCxnSpPr>
      <xdr:spPr>
        <a:xfrm>
          <a:off x="5425440" y="2278380"/>
          <a:ext cx="480060" cy="9067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381000</xdr:colOff>
      <xdr:row>8</xdr:row>
      <xdr:rowOff>99060</xdr:rowOff>
    </xdr:from>
    <xdr:to>
      <xdr:col>15</xdr:col>
      <xdr:colOff>45720</xdr:colOff>
      <xdr:row>8</xdr:row>
      <xdr:rowOff>106680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2A330F6-9851-4B7F-5F33-3031B4DE2EA8}"/>
            </a:ext>
          </a:extLst>
        </xdr:cNvPr>
        <xdr:cNvCxnSpPr/>
      </xdr:nvCxnSpPr>
      <xdr:spPr>
        <a:xfrm>
          <a:off x="7025640" y="1927860"/>
          <a:ext cx="457200" cy="76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</xdr:row>
      <xdr:rowOff>144780</xdr:rowOff>
    </xdr:from>
    <xdr:to>
      <xdr:col>19</xdr:col>
      <xdr:colOff>60960</xdr:colOff>
      <xdr:row>8</xdr:row>
      <xdr:rowOff>152400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70B2F75-F98C-DD4C-86DB-51C7A65F498F}"/>
            </a:ext>
          </a:extLst>
        </xdr:cNvPr>
        <xdr:cNvCxnSpPr/>
      </xdr:nvCxnSpPr>
      <xdr:spPr>
        <a:xfrm>
          <a:off x="8625840" y="197358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</xdr:colOff>
      <xdr:row>5</xdr:row>
      <xdr:rowOff>160020</xdr:rowOff>
    </xdr:from>
    <xdr:to>
      <xdr:col>19</xdr:col>
      <xdr:colOff>22860</xdr:colOff>
      <xdr:row>8</xdr:row>
      <xdr:rowOff>7620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035F190-5296-544C-89AB-15219A1A159C}"/>
            </a:ext>
          </a:extLst>
        </xdr:cNvPr>
        <xdr:cNvCxnSpPr/>
      </xdr:nvCxnSpPr>
      <xdr:spPr>
        <a:xfrm>
          <a:off x="7467600" y="1303020"/>
          <a:ext cx="1577340" cy="533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358140</xdr:colOff>
      <xdr:row>10</xdr:row>
      <xdr:rowOff>22860</xdr:rowOff>
    </xdr:from>
    <xdr:to>
      <xdr:col>16</xdr:col>
      <xdr:colOff>0</xdr:colOff>
      <xdr:row>12</xdr:row>
      <xdr:rowOff>83820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ECE47D6-7355-39F2-D46D-2DA2BF3611FE}"/>
            </a:ext>
          </a:extLst>
        </xdr:cNvPr>
        <xdr:cNvCxnSpPr/>
      </xdr:nvCxnSpPr>
      <xdr:spPr>
        <a:xfrm>
          <a:off x="7002780" y="2308860"/>
          <a:ext cx="830580" cy="5181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381000</xdr:colOff>
      <xdr:row>14</xdr:row>
      <xdr:rowOff>68580</xdr:rowOff>
    </xdr:from>
    <xdr:to>
      <xdr:col>23</xdr:col>
      <xdr:colOff>38100</xdr:colOff>
      <xdr:row>14</xdr:row>
      <xdr:rowOff>121920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D359877-917A-FF8F-3741-CE380C382578}"/>
            </a:ext>
          </a:extLst>
        </xdr:cNvPr>
        <xdr:cNvCxnSpPr/>
      </xdr:nvCxnSpPr>
      <xdr:spPr>
        <a:xfrm>
          <a:off x="7025640" y="3268980"/>
          <a:ext cx="3619500" cy="533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12</xdr:row>
      <xdr:rowOff>106680</xdr:rowOff>
    </xdr:from>
    <xdr:to>
      <xdr:col>23</xdr:col>
      <xdr:colOff>7620</xdr:colOff>
      <xdr:row>13</xdr:row>
      <xdr:rowOff>53340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F41BF11-C2D5-7A0E-92EF-1FB39DEC4CD7}"/>
            </a:ext>
          </a:extLst>
        </xdr:cNvPr>
        <xdr:cNvCxnSpPr/>
      </xdr:nvCxnSpPr>
      <xdr:spPr>
        <a:xfrm>
          <a:off x="9037320" y="2849880"/>
          <a:ext cx="1577340" cy="175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381000</xdr:colOff>
      <xdr:row>9</xdr:row>
      <xdr:rowOff>220980</xdr:rowOff>
    </xdr:from>
    <xdr:to>
      <xdr:col>23</xdr:col>
      <xdr:colOff>53340</xdr:colOff>
      <xdr:row>13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4980BF50-821F-06C0-3E2D-5A46832092AD}"/>
            </a:ext>
          </a:extLst>
        </xdr:cNvPr>
        <xdr:cNvCxnSpPr/>
      </xdr:nvCxnSpPr>
      <xdr:spPr>
        <a:xfrm>
          <a:off x="10195560" y="2278380"/>
          <a:ext cx="464820" cy="6934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388620</xdr:colOff>
      <xdr:row>4</xdr:row>
      <xdr:rowOff>91440</xdr:rowOff>
    </xdr:from>
    <xdr:to>
      <xdr:col>19</xdr:col>
      <xdr:colOff>0</xdr:colOff>
      <xdr:row>4</xdr:row>
      <xdr:rowOff>152400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1F0101DD-2097-88D1-F390-76256F7CDBF0}"/>
            </a:ext>
          </a:extLst>
        </xdr:cNvPr>
        <xdr:cNvCxnSpPr/>
      </xdr:nvCxnSpPr>
      <xdr:spPr>
        <a:xfrm>
          <a:off x="7429500" y="1005840"/>
          <a:ext cx="1592580" cy="60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373380</xdr:colOff>
      <xdr:row>7</xdr:row>
      <xdr:rowOff>213360</xdr:rowOff>
    </xdr:from>
    <xdr:to>
      <xdr:col>26</xdr:col>
      <xdr:colOff>30480</xdr:colOff>
      <xdr:row>13</xdr:row>
      <xdr:rowOff>91440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EA570FE-8A8F-D339-00F6-477E8E4F8BD1}"/>
            </a:ext>
          </a:extLst>
        </xdr:cNvPr>
        <xdr:cNvCxnSpPr/>
      </xdr:nvCxnSpPr>
      <xdr:spPr>
        <a:xfrm flipV="1">
          <a:off x="11772900" y="1813560"/>
          <a:ext cx="53340" cy="12496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381000</xdr:colOff>
      <xdr:row>5</xdr:row>
      <xdr:rowOff>213360</xdr:rowOff>
    </xdr:from>
    <xdr:to>
      <xdr:col>19</xdr:col>
      <xdr:colOff>53340</xdr:colOff>
      <xdr:row>8</xdr:row>
      <xdr:rowOff>7620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2636E9F-855E-AF2E-ABE1-0BFCD074770F}"/>
            </a:ext>
          </a:extLst>
        </xdr:cNvPr>
        <xdr:cNvCxnSpPr/>
      </xdr:nvCxnSpPr>
      <xdr:spPr>
        <a:xfrm flipV="1">
          <a:off x="8610600" y="1356360"/>
          <a:ext cx="464820" cy="4800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</xdr:row>
      <xdr:rowOff>91440</xdr:rowOff>
    </xdr:from>
    <xdr:to>
      <xdr:col>26</xdr:col>
      <xdr:colOff>15240</xdr:colOff>
      <xdr:row>7</xdr:row>
      <xdr:rowOff>60960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549565ED-BD2A-3F31-7CD1-08A4DF6FE615}"/>
            </a:ext>
          </a:extLst>
        </xdr:cNvPr>
        <xdr:cNvCxnSpPr/>
      </xdr:nvCxnSpPr>
      <xdr:spPr>
        <a:xfrm>
          <a:off x="10210800" y="1234440"/>
          <a:ext cx="1600200" cy="4267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373380</xdr:colOff>
      <xdr:row>6</xdr:row>
      <xdr:rowOff>106680</xdr:rowOff>
    </xdr:from>
    <xdr:to>
      <xdr:col>30</xdr:col>
      <xdr:colOff>38100</xdr:colOff>
      <xdr:row>6</xdr:row>
      <xdr:rowOff>114300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E6A5806C-9C81-83DC-0C3B-303A69EB9C2F}"/>
            </a:ext>
          </a:extLst>
        </xdr:cNvPr>
        <xdr:cNvCxnSpPr/>
      </xdr:nvCxnSpPr>
      <xdr:spPr>
        <a:xfrm>
          <a:off x="12961620" y="1478280"/>
          <a:ext cx="457200" cy="76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68580</xdr:colOff>
      <xdr:row>0</xdr:row>
      <xdr:rowOff>68580</xdr:rowOff>
    </xdr:from>
    <xdr:to>
      <xdr:col>14</xdr:col>
      <xdr:colOff>129540</xdr:colOff>
      <xdr:row>0</xdr:row>
      <xdr:rowOff>76200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48686AA4-75FC-4745-86BD-F852897C0D5C}"/>
            </a:ext>
          </a:extLst>
        </xdr:cNvPr>
        <xdr:cNvCxnSpPr/>
      </xdr:nvCxnSpPr>
      <xdr:spPr>
        <a:xfrm>
          <a:off x="6713220" y="6858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247135</xdr:colOff>
      <xdr:row>0</xdr:row>
      <xdr:rowOff>109769</xdr:rowOff>
    </xdr:from>
    <xdr:to>
      <xdr:col>26</xdr:col>
      <xdr:colOff>315715</xdr:colOff>
      <xdr:row>0</xdr:row>
      <xdr:rowOff>123568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23124ACE-09C5-D68B-D61E-994C2E181D7A}"/>
            </a:ext>
          </a:extLst>
        </xdr:cNvPr>
        <xdr:cNvCxnSpPr/>
      </xdr:nvCxnSpPr>
      <xdr:spPr>
        <a:xfrm flipH="1">
          <a:off x="11690865" y="109769"/>
          <a:ext cx="466742" cy="137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64C6-E80B-4A3B-970F-6A8549FDA407}">
  <dimension ref="M21:O21"/>
  <sheetViews>
    <sheetView workbookViewId="0">
      <selection activeCell="M23" sqref="M23"/>
    </sheetView>
  </sheetViews>
  <sheetFormatPr defaultRowHeight="14.4" x14ac:dyDescent="0.3"/>
  <sheetData>
    <row r="21" spans="13:15" x14ac:dyDescent="0.3">
      <c r="M21" t="s">
        <v>0</v>
      </c>
      <c r="O2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3C49-B489-4EA9-B136-DA1C98F6DCB6}">
  <dimension ref="A1:BF19"/>
  <sheetViews>
    <sheetView tabSelected="1" zoomScale="111" workbookViewId="0">
      <selection activeCell="R19" sqref="R19"/>
    </sheetView>
  </sheetViews>
  <sheetFormatPr defaultRowHeight="18" x14ac:dyDescent="0.35"/>
  <cols>
    <col min="1" max="7" width="8.88671875" style="1"/>
    <col min="8" max="58" width="5.77734375" style="1" customWidth="1"/>
  </cols>
  <sheetData>
    <row r="1" spans="4:33" x14ac:dyDescent="0.35">
      <c r="H1" s="2" t="s">
        <v>2</v>
      </c>
      <c r="I1" s="4" t="s">
        <v>6</v>
      </c>
      <c r="J1" s="2" t="s">
        <v>3</v>
      </c>
      <c r="P1" s="5" t="s">
        <v>19</v>
      </c>
    </row>
    <row r="2" spans="4:33" x14ac:dyDescent="0.35">
      <c r="H2" s="3" t="s">
        <v>4</v>
      </c>
      <c r="I2" s="4" t="s">
        <v>7</v>
      </c>
      <c r="J2" s="3" t="s">
        <v>5</v>
      </c>
      <c r="P2" s="5" t="s">
        <v>20</v>
      </c>
      <c r="AA2" s="1" t="s">
        <v>22</v>
      </c>
    </row>
    <row r="3" spans="4:33" x14ac:dyDescent="0.35">
      <c r="P3" s="5" t="s">
        <v>21</v>
      </c>
      <c r="Z3" s="5" t="s">
        <v>23</v>
      </c>
    </row>
    <row r="4" spans="4:33" x14ac:dyDescent="0.35">
      <c r="Z4" s="5" t="s">
        <v>24</v>
      </c>
    </row>
    <row r="5" spans="4:33" x14ac:dyDescent="0.35">
      <c r="M5" s="2">
        <f>MAX(J9)</f>
        <v>0</v>
      </c>
      <c r="N5" s="4" t="s">
        <v>10</v>
      </c>
      <c r="O5" s="2">
        <f>M5+N6</f>
        <v>4</v>
      </c>
      <c r="T5" s="2">
        <f>MAX(R9,O5)</f>
        <v>10</v>
      </c>
      <c r="U5" s="7" t="s">
        <v>14</v>
      </c>
      <c r="V5" s="2">
        <f>T5+U6</f>
        <v>34</v>
      </c>
    </row>
    <row r="6" spans="4:33" x14ac:dyDescent="0.35">
      <c r="M6" s="3">
        <f>O6-N6</f>
        <v>6</v>
      </c>
      <c r="N6" s="4">
        <v>4</v>
      </c>
      <c r="O6" s="3">
        <f>MIN(T6,T10)</f>
        <v>10</v>
      </c>
      <c r="T6" s="3">
        <f>V6-U6</f>
        <v>10</v>
      </c>
      <c r="U6" s="4">
        <v>24</v>
      </c>
      <c r="V6" s="3">
        <f>MIN(AA8)</f>
        <v>34</v>
      </c>
    </row>
    <row r="7" spans="4:33" x14ac:dyDescent="0.35">
      <c r="AA7" s="2">
        <f>MAX(Z14,V5)</f>
        <v>34</v>
      </c>
      <c r="AB7" s="7" t="s">
        <v>17</v>
      </c>
      <c r="AC7" s="2">
        <f>AA7+AB8</f>
        <v>37</v>
      </c>
      <c r="AE7" s="2">
        <f>MAX(AC7)</f>
        <v>37</v>
      </c>
      <c r="AF7" s="4" t="s">
        <v>18</v>
      </c>
      <c r="AG7" s="2">
        <f>AE7+AF8</f>
        <v>37</v>
      </c>
    </row>
    <row r="8" spans="4:33" x14ac:dyDescent="0.35">
      <c r="AA8" s="3">
        <f>AC8-AB8</f>
        <v>34</v>
      </c>
      <c r="AB8" s="4">
        <v>3</v>
      </c>
      <c r="AC8" s="3">
        <f>MIN(AE8)</f>
        <v>37</v>
      </c>
      <c r="AE8" s="3">
        <f>AG8-AF8</f>
        <v>37</v>
      </c>
      <c r="AF8" s="4">
        <v>0</v>
      </c>
      <c r="AG8" s="3">
        <f>AG7</f>
        <v>37</v>
      </c>
    </row>
    <row r="9" spans="4:33" x14ac:dyDescent="0.35">
      <c r="H9" s="2">
        <v>0</v>
      </c>
      <c r="I9" s="4" t="s">
        <v>8</v>
      </c>
      <c r="J9" s="2">
        <f>H9+I10</f>
        <v>0</v>
      </c>
      <c r="L9" s="2">
        <f>MAX(J9)</f>
        <v>0</v>
      </c>
      <c r="M9" s="7" t="s">
        <v>9</v>
      </c>
      <c r="N9" s="2">
        <f>L9+M10</f>
        <v>4</v>
      </c>
      <c r="P9" s="2">
        <f>MAX(N9)</f>
        <v>4</v>
      </c>
      <c r="Q9" s="7" t="s">
        <v>12</v>
      </c>
      <c r="R9" s="2">
        <f>P9+Q10</f>
        <v>10</v>
      </c>
      <c r="T9" s="2">
        <f>MAX(R9,O5)</f>
        <v>10</v>
      </c>
      <c r="U9" s="4" t="s">
        <v>13</v>
      </c>
      <c r="V9" s="2">
        <f>T9+U10</f>
        <v>20</v>
      </c>
    </row>
    <row r="10" spans="4:33" x14ac:dyDescent="0.35">
      <c r="H10" s="3">
        <f>J10-I10</f>
        <v>0</v>
      </c>
      <c r="I10" s="4">
        <v>0</v>
      </c>
      <c r="J10" s="3">
        <f>MIN(L10,M6,L16)</f>
        <v>0</v>
      </c>
      <c r="L10" s="3">
        <f>N10-M10</f>
        <v>0</v>
      </c>
      <c r="M10" s="4">
        <v>4</v>
      </c>
      <c r="N10" s="3">
        <f>MIN(Q14,P10)</f>
        <v>4</v>
      </c>
      <c r="P10" s="3">
        <f>R10-Q10</f>
        <v>4</v>
      </c>
      <c r="Q10" s="4">
        <v>6</v>
      </c>
      <c r="R10" s="3">
        <f>MIN(T10,T6)</f>
        <v>10</v>
      </c>
      <c r="T10" s="3">
        <f>V10-U10</f>
        <v>14</v>
      </c>
      <c r="U10" s="4">
        <v>10</v>
      </c>
      <c r="V10" s="3">
        <f>MIN(X15)</f>
        <v>24</v>
      </c>
    </row>
    <row r="13" spans="4:33" x14ac:dyDescent="0.35">
      <c r="Q13" s="2">
        <f>MAX(N9)</f>
        <v>4</v>
      </c>
      <c r="R13" s="4" t="s">
        <v>15</v>
      </c>
      <c r="S13" s="2">
        <f>Q13+R14</f>
        <v>11</v>
      </c>
    </row>
    <row r="14" spans="4:33" x14ac:dyDescent="0.35">
      <c r="Q14" s="3">
        <f>S14-R14</f>
        <v>17</v>
      </c>
      <c r="R14" s="4">
        <v>7</v>
      </c>
      <c r="S14" s="3">
        <f>MIN(X15)</f>
        <v>24</v>
      </c>
      <c r="X14" s="2">
        <f>MAX(N15,S13,V9)</f>
        <v>20</v>
      </c>
      <c r="Y14" s="4" t="s">
        <v>16</v>
      </c>
      <c r="Z14" s="2">
        <f>X14+Y15</f>
        <v>30</v>
      </c>
    </row>
    <row r="15" spans="4:33" x14ac:dyDescent="0.35">
      <c r="D15" s="5" t="s">
        <v>25</v>
      </c>
      <c r="G15" s="5" t="s">
        <v>26</v>
      </c>
      <c r="L15" s="2">
        <f>MAX(J9)</f>
        <v>0</v>
      </c>
      <c r="M15" s="4" t="s">
        <v>11</v>
      </c>
      <c r="N15" s="2">
        <f>L15+M16</f>
        <v>12</v>
      </c>
      <c r="X15" s="3">
        <f>Z15-Y15</f>
        <v>24</v>
      </c>
      <c r="Y15" s="4">
        <v>10</v>
      </c>
      <c r="Z15" s="3">
        <f>MIN(AA8)</f>
        <v>34</v>
      </c>
    </row>
    <row r="16" spans="4:33" x14ac:dyDescent="0.35">
      <c r="D16" s="6" t="s">
        <v>27</v>
      </c>
      <c r="E16" s="6"/>
      <c r="F16" s="6"/>
      <c r="G16" s="6" t="s">
        <v>28</v>
      </c>
      <c r="L16" s="3">
        <f>N16-M16</f>
        <v>12</v>
      </c>
      <c r="M16" s="4">
        <v>12</v>
      </c>
      <c r="N16" s="3">
        <f>MIN(X15)</f>
        <v>24</v>
      </c>
    </row>
    <row r="17" spans="4:7" x14ac:dyDescent="0.35">
      <c r="D17" s="6" t="s">
        <v>29</v>
      </c>
      <c r="E17" s="6"/>
      <c r="F17" s="6"/>
      <c r="G17" s="6" t="s">
        <v>30</v>
      </c>
    </row>
    <row r="18" spans="4:7" x14ac:dyDescent="0.35">
      <c r="D18" s="6"/>
      <c r="E18" s="6"/>
      <c r="F18" s="6"/>
      <c r="G18" s="6"/>
    </row>
    <row r="19" spans="4:7" x14ac:dyDescent="0.35">
      <c r="D19" s="6"/>
      <c r="E19" s="6"/>
      <c r="F19" s="6"/>
      <c r="G1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AOA</vt:lpstr>
      <vt:lpstr>PDM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Truong Minh</dc:creator>
  <cp:lastModifiedBy>Thai Truong Minh</cp:lastModifiedBy>
  <dcterms:created xsi:type="dcterms:W3CDTF">2026-06-09T01:11:34Z</dcterms:created>
  <dcterms:modified xsi:type="dcterms:W3CDTF">2026-06-09T02:09:30Z</dcterms:modified>
</cp:coreProperties>
</file>